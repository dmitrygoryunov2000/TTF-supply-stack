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Norway Supply" sheetId="2" state="visible" r:id="rId4"/>
    <sheet name="LNG Supply" sheetId="3" state="visible" r:id="rId5"/>
    <sheet name="Pipeline &amp; Storage" sheetId="4" state="visible" r:id="rId6"/>
    <sheet name="Supply Stack" sheetId="5" state="visible" r:id="rId7"/>
    <sheet name="Scenarios" sheetId="6" state="visible" r:id="rId8"/>
    <sheet name="Data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<sst xmlns="http://schemas.openxmlformats.org/spreadsheetml/2006/main" count="711" uniqueCount="487">
  <si>
    <t xml:space="preserve">TTF Gas Supply Stack Curve — Quantitative Framework</t>
  </si>
  <si>
    <t xml:space="preserve">All volumes in bcm/year unless otherwise stated. Blue cells are editable inputs.</t>
  </si>
  <si>
    <t xml:space="preserve">GLOBAL PARAMETERS</t>
  </si>
  <si>
    <t xml:space="preserve">Parameter</t>
  </si>
  <si>
    <t xml:space="preserve">Unit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</si>
  <si>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</si>
  <si>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</si>
  <si>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</si>
  <si>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</si>
  <si>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</si>
  <si>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Source / Notes</t>
  </si>
  <si>
    <t xml:space="preserve">EUR/USD Exchange Rate</t>
  </si>
  <si>
    <t xml:space="preserve">EUR/USD</t>
  </si>
  <si>
    <t xml:space="preserve">ECB forward curve</t>
  </si>
  <si>
    <t xml:space="preserve">EU ETS Carbon Price</t>
  </si>
  <si>
    <t xml:space="preserve">EUR/tCO2</t>
  </si>
  <si>
    <t xml:space="preserve">ICE EUA futures</t>
  </si>
  <si>
    <t xml:space="preserve">API2 Coal Price</t>
  </si>
  <si>
    <t xml:space="preserve">USD/t</t>
  </si>
  <si>
    <t xml:space="preserve">ICE Rotterdam coal futures</t>
  </si>
  <si>
    <t xml:space="preserve">Brent Crude Oil Price</t>
  </si>
  <si>
    <t xml:space="preserve">USD/bbl</t>
  </si>
  <si>
    <t xml:space="preserve">ICE Brent futures</t>
  </si>
  <si>
    <t xml:space="preserve">JKM LNG Price (Asia)</t>
  </si>
  <si>
    <t xml:space="preserve">USD/MMBtu</t>
  </si>
  <si>
    <t xml:space="preserve">Platts JKM forward</t>
  </si>
  <si>
    <t xml:space="preserve">TTF-JKM Spread Threshold</t>
  </si>
  <si>
    <t xml:space="preserve">Shipping cost differential</t>
  </si>
  <si>
    <t xml:space="preserve">Avg LNG Shipping Rate (US-EU)</t>
  </si>
  <si>
    <t xml:space="preserve">Spark Commodities</t>
  </si>
  <si>
    <t xml:space="preserve">Avg LNG Shipping Rate (US-Asia)</t>
  </si>
  <si>
    <t xml:space="preserve">EU Storage Mandate Fill Target</t>
  </si>
  <si>
    <t xml:space="preserve">%</t>
  </si>
  <si>
    <t xml:space="preserve">EU Regulation 2022/1032</t>
  </si>
  <si>
    <t xml:space="preserve">EU Storage Working Capacity</t>
  </si>
  <si>
    <t xml:space="preserve">bcm</t>
  </si>
  <si>
    <t xml:space="preserve">GIE AGSI+</t>
  </si>
  <si>
    <t xml:space="preserve">European Gas Demand (Total)</t>
  </si>
  <si>
    <t xml:space="preserve">IEA/ENTSOG demand forecast</t>
  </si>
  <si>
    <t xml:space="preserve">   of which Power Sector</t>
  </si>
  <si>
    <t xml:space="preserve">Model assumption</t>
  </si>
  <si>
    <t xml:space="preserve">   of which Industrial</t>
  </si>
  <si>
    <t xml:space="preserve">   of which Residential/Commercial</t>
  </si>
  <si>
    <t xml:space="preserve">Weather-normalised</t>
  </si>
  <si>
    <t xml:space="preserve">Norwegian Pipeline Gas Supply Model</t>
  </si>
  <si>
    <t xml:space="preserve">Field-by-field production, maintenance, and export pipeline allocation</t>
  </si>
  <si>
    <t xml:space="preserve">FIELD PRODUCTION CAPACITY (bcm/yr)</t>
  </si>
  <si>
    <t xml:space="preserve">Field / Facility</t>
  </si>
  <si>
    <t xml:space="preserve">Operator</t>
  </si>
  <si>
    <t xml:space="preserve">Notes</t>
  </si>
  <si>
    <t xml:space="preserve">Troll</t>
  </si>
  <si>
    <t xml:space="preserve">Equinor</t>
  </si>
  <si>
    <t xml:space="preserve">bcm/yr</t>
  </si>
  <si>
    <t xml:space="preserve">Phase 3 extension</t>
  </si>
  <si>
    <t xml:space="preserve">Ormen Lange</t>
  </si>
  <si>
    <t xml:space="preserve">Shell</t>
  </si>
  <si>
    <t xml:space="preserve">Natural decline ~3.5%/yr</t>
  </si>
  <si>
    <t xml:space="preserve">Åsgard</t>
  </si>
  <si>
    <t xml:space="preserve">Decline ~4%/yr</t>
  </si>
  <si>
    <t xml:space="preserve">Kristin</t>
  </si>
  <si>
    <t xml:space="preserve">Decline ~6%/yr</t>
  </si>
  <si>
    <t xml:space="preserve">Kvitebjørn</t>
  </si>
  <si>
    <t xml:space="preserve">Skarv</t>
  </si>
  <si>
    <t xml:space="preserve">Aker BP</t>
  </si>
  <si>
    <t xml:space="preserve">Decline ~5%/yr</t>
  </si>
  <si>
    <t xml:space="preserve">Gjøa</t>
  </si>
  <si>
    <t xml:space="preserve">Neptune</t>
  </si>
  <si>
    <t xml:space="preserve">Decline ~7%/yr</t>
  </si>
  <si>
    <t xml:space="preserve">Other fields (aggregate)</t>
  </si>
  <si>
    <t xml:space="preserve">Various</t>
  </si>
  <si>
    <t xml:space="preserve">Weighted avg decline ~5%/yr</t>
  </si>
  <si>
    <t xml:space="preserve">GROSS FIELD CAPACITY</t>
  </si>
  <si>
    <t xml:space="preserve">MAINTENANCE &amp; OUTAGE DEDUCTIONS</t>
  </si>
  <si>
    <t xml:space="preserve">Deduction Factor</t>
  </si>
  <si>
    <t xml:space="preserve">Planned maintenance (summer)</t>
  </si>
  <si>
    <t xml:space="preserve">Gassco calendar estimate</t>
  </si>
  <si>
    <t xml:space="preserve">Unplanned outage allowance</t>
  </si>
  <si>
    <t xml:space="preserve">Historical avg ~3 bcm/yr</t>
  </si>
  <si>
    <t xml:space="preserve">Processing plant capacity constraint</t>
  </si>
  <si>
    <t xml:space="preserve">Kollsnes/Kårstø bottleneck</t>
  </si>
  <si>
    <t xml:space="preserve">TOTAL DEDUCTIONS</t>
  </si>
  <si>
    <t xml:space="preserve">NET DELIVERABLE NORWEGIAN SUPPLY</t>
  </si>
  <si>
    <t xml:space="preserve">EXPORT PIPELINE ALLOCATION (bcm/yr)</t>
  </si>
  <si>
    <t xml:space="preserve">Pipeline Route</t>
  </si>
  <si>
    <t xml:space="preserve">Destination</t>
  </si>
  <si>
    <t xml:space="preserve">Capacity</t>
  </si>
  <si>
    <t xml:space="preserve">Utilisation %</t>
  </si>
  <si>
    <t xml:space="preserve">Europipe I</t>
  </si>
  <si>
    <t xml:space="preserve">Dornum, DE</t>
  </si>
  <si>
    <t xml:space="preserve">Europipe II</t>
  </si>
  <si>
    <t xml:space="preserve">Franpipe</t>
  </si>
  <si>
    <t xml:space="preserve">Dunkerque, FR</t>
  </si>
  <si>
    <t xml:space="preserve">Langeled</t>
  </si>
  <si>
    <t xml:space="preserve">Easington, UK</t>
  </si>
  <si>
    <t xml:space="preserve">Norpipe</t>
  </si>
  <si>
    <t xml:space="preserve">Emden, DE</t>
  </si>
  <si>
    <t xml:space="preserve">Zeepipe</t>
  </si>
  <si>
    <t xml:space="preserve">Zeebrugge, BE</t>
  </si>
  <si>
    <t xml:space="preserve">Global LNG Supply &amp; European Allocation Model</t>
  </si>
  <si>
    <t xml:space="preserve">Project-level liquefaction, shipping, arbitrage, and regasification</t>
  </si>
  <si>
    <t xml:space="preserve">GLOBAL LIQUEFACTION CAPACITY BY PROJECT (MTPA)</t>
  </si>
  <si>
    <t xml:space="preserve">Project</t>
  </si>
  <si>
    <t xml:space="preserve">Country</t>
  </si>
  <si>
    <t xml:space="preserve">Status</t>
  </si>
  <si>
    <t xml:space="preserve">Nameplate</t>
  </si>
  <si>
    <t xml:space="preserve">Sabine Pass T1-6</t>
  </si>
  <si>
    <t xml:space="preserve">US</t>
  </si>
  <si>
    <t xml:space="preserve">Operating</t>
  </si>
  <si>
    <t xml:space="preserve">Cheniere, ~95% util</t>
  </si>
  <si>
    <t xml:space="preserve">Cameron T1-3</t>
  </si>
  <si>
    <t xml:space="preserve">Sempra, ~90% util</t>
  </si>
  <si>
    <t xml:space="preserve">Freeport T1-3</t>
  </si>
  <si>
    <t xml:space="preserve">~90% util</t>
  </si>
  <si>
    <t xml:space="preserve">Corpus Christi S1-3 + SPL</t>
  </si>
  <si>
    <t xml:space="preserve">Operating/Constr</t>
  </si>
  <si>
    <t xml:space="preserve">Stage 3 ramp-up</t>
  </si>
  <si>
    <t xml:space="preserve">Plaquemines P1-P2</t>
  </si>
  <si>
    <t xml:space="preserve">Construction</t>
  </si>
  <si>
    <t xml:space="preserve">Venture Global ramp</t>
  </si>
  <si>
    <t xml:space="preserve">Golden Pass T1-3</t>
  </si>
  <si>
    <t xml:space="preserve">ExxonMobil/QE ramp</t>
  </si>
  <si>
    <t xml:space="preserve">Other US (Rio Grande etc)</t>
  </si>
  <si>
    <t xml:space="preserve">Proposed/FID</t>
  </si>
  <si>
    <t xml:space="preserve">Subject to FID timing</t>
  </si>
  <si>
    <t xml:space="preserve">Qatar NFE (North Field East)</t>
  </si>
  <si>
    <t xml:space="preserve">Qatar</t>
  </si>
  <si>
    <t xml:space="preserve">QatarEnergy mega-expansion</t>
  </si>
  <si>
    <t xml:space="preserve">Qatar NFS (North Field South)</t>
  </si>
  <si>
    <t xml:space="preserve">Follow-on expansion</t>
  </si>
  <si>
    <t xml:space="preserve">Existing Qatar</t>
  </si>
  <si>
    <t xml:space="preserve">Stable plateau</t>
  </si>
  <si>
    <t xml:space="preserve">Gorgon T1-3</t>
  </si>
  <si>
    <t xml:space="preserve">Australia</t>
  </si>
  <si>
    <t xml:space="preserve">Slight decline</t>
  </si>
  <si>
    <t xml:space="preserve">NW Shelf / Wheatstone / Ichthys</t>
  </si>
  <si>
    <t xml:space="preserve">Aggregate AU</t>
  </si>
  <si>
    <t xml:space="preserve">Nigeria LNG T1-6 + T7</t>
  </si>
  <si>
    <t xml:space="preserve">Nigeria</t>
  </si>
  <si>
    <t xml:space="preserve">Oper/Constr</t>
  </si>
  <si>
    <t xml:space="preserve">T7 ramp-up</t>
  </si>
  <si>
    <t xml:space="preserve">Angola / Cameroon / EG</t>
  </si>
  <si>
    <t xml:space="preserve">W.Africa</t>
  </si>
  <si>
    <t xml:space="preserve">Variable reliability</t>
  </si>
  <si>
    <t xml:space="preserve">Yamal LNG T1-3 + Arctic LNG 2</t>
  </si>
  <si>
    <t xml:space="preserve">Russia</t>
  </si>
  <si>
    <t xml:space="preserve">Oper/Sanctions</t>
  </si>
  <si>
    <t xml:space="preserve">Sanctions impact</t>
  </si>
  <si>
    <t xml:space="preserve">Coral FLNG / Rovuma Area 4</t>
  </si>
  <si>
    <t xml:space="preserve">Mozambique</t>
  </si>
  <si>
    <t xml:space="preserve">Operating/Delay</t>
  </si>
  <si>
    <t xml:space="preserve">Area 4 onshore delayed</t>
  </si>
  <si>
    <t xml:space="preserve">Greater Tortue FLNG</t>
  </si>
  <si>
    <t xml:space="preserve">Mauritania</t>
  </si>
  <si>
    <t xml:space="preserve">Commissioning</t>
  </si>
  <si>
    <t xml:space="preserve">BP/Kosmos</t>
  </si>
  <si>
    <t xml:space="preserve">Other global (Trinidad, Peru, etc)</t>
  </si>
  <si>
    <t xml:space="preserve">Stable</t>
  </si>
  <si>
    <t xml:space="preserve">TOTAL GLOBAL LNG SUPPLY</t>
  </si>
  <si>
    <t xml:space="preserve">LNG ALLOCATION TO EUROPE — ARBITRAGE MODEL</t>
  </si>
  <si>
    <t xml:space="preserve">Variable</t>
  </si>
  <si>
    <t xml:space="preserve">Logic</t>
  </si>
  <si>
    <t xml:space="preserve">Global LNG Supply (from above)</t>
  </si>
  <si>
    <t xml:space="preserve">MTPA</t>
  </si>
  <si>
    <t xml:space="preserve">Global LNG Demand ex-Europe</t>
  </si>
  <si>
    <t xml:space="preserve">Asia + LatAm + ME growth</t>
  </si>
  <si>
    <t xml:space="preserve">Available LNG for Europe (residual)</t>
  </si>
  <si>
    <t xml:space="preserve">Conversion factor (MTPA to bcm)</t>
  </si>
  <si>
    <t xml:space="preserve">bcm/MTPA</t>
  </si>
  <si>
    <t xml:space="preserve">Standard gas conversion</t>
  </si>
  <si>
    <t xml:space="preserve">Available LNG for Europe</t>
  </si>
  <si>
    <t xml:space="preserve">European Regas Capacity</t>
  </si>
  <si>
    <t xml:space="preserve">GIE + new FSRUs</t>
  </si>
  <si>
    <t xml:space="preserve">European Regas Utilisation Cap</t>
  </si>
  <si>
    <t xml:space="preserve">Technical max utilisation</t>
  </si>
  <si>
    <t xml:space="preserve">Max Deliverable LNG to Europe</t>
  </si>
  <si>
    <t xml:space="preserve">Arbitrage-Adjusted LNG to Europe</t>
  </si>
  <si>
    <t xml:space="preserve">'=MIN(max deliverable, available) adjusted for ttf-jkm arb</t>
  </si>
  <si>
    <t xml:space="preserve">EUROPEAN REGASIFICATION TERMINALS (bcm/yr capacity)</t>
  </si>
  <si>
    <t xml:space="preserve">Terminal</t>
  </si>
  <si>
    <t xml:space="preserve">Type</t>
  </si>
  <si>
    <t xml:space="preserve">2025 Util%</t>
  </si>
  <si>
    <t xml:space="preserve">2026 Util%</t>
  </si>
  <si>
    <t xml:space="preserve">2027 Util%</t>
  </si>
  <si>
    <t xml:space="preserve">2028 Util%</t>
  </si>
  <si>
    <t xml:space="preserve">2029 Util%</t>
  </si>
  <si>
    <t xml:space="preserve">Gate Terminal</t>
  </si>
  <si>
    <t xml:space="preserve">NL</t>
  </si>
  <si>
    <t xml:space="preserve">Onshore</t>
  </si>
  <si>
    <t xml:space="preserve">Grain Isle</t>
  </si>
  <si>
    <t xml:space="preserve">UK</t>
  </si>
  <si>
    <t xml:space="preserve">Dunkerque</t>
  </si>
  <si>
    <t xml:space="preserve">FR</t>
  </si>
  <si>
    <t xml:space="preserve">Zeebrugge</t>
  </si>
  <si>
    <t xml:space="preserve">BE</t>
  </si>
  <si>
    <t xml:space="preserve">Montoir</t>
  </si>
  <si>
    <t xml:space="preserve">Bilbao / Huelva / Barcelona / Cartagena</t>
  </si>
  <si>
    <t xml:space="preserve">ES</t>
  </si>
  <si>
    <t xml:space="preserve">Sines / Figueira</t>
  </si>
  <si>
    <t xml:space="preserve">PT</t>
  </si>
  <si>
    <t xml:space="preserve">Adriatic / Panigaglia / OLT / Piombino</t>
  </si>
  <si>
    <t xml:space="preserve">IT</t>
  </si>
  <si>
    <t xml:space="preserve">Mixed</t>
  </si>
  <si>
    <t xml:space="preserve">Wilhelmshaven (FSRU + onshore)</t>
  </si>
  <si>
    <t xml:space="preserve">DE</t>
  </si>
  <si>
    <t xml:space="preserve">FSRU→Onshore</t>
  </si>
  <si>
    <t xml:space="preserve">Brunsbüttel</t>
  </si>
  <si>
    <t xml:space="preserve">Lubmin (Deutsche Ostsee)</t>
  </si>
  <si>
    <t xml:space="preserve">FSRU</t>
  </si>
  <si>
    <t xml:space="preserve">Eemshaven</t>
  </si>
  <si>
    <t xml:space="preserve">Świnoujście</t>
  </si>
  <si>
    <t xml:space="preserve">PL</t>
  </si>
  <si>
    <t xml:space="preserve">Alexandroupolis</t>
  </si>
  <si>
    <t xml:space="preserve">GR</t>
  </si>
  <si>
    <t xml:space="preserve">Inkoo</t>
  </si>
  <si>
    <t xml:space="preserve">FI</t>
  </si>
  <si>
    <t xml:space="preserve">Klaipėda</t>
  </si>
  <si>
    <t xml:space="preserve">LT</t>
  </si>
  <si>
    <t xml:space="preserve">Krk (LNG Croatia)</t>
  </si>
  <si>
    <t xml:space="preserve">HR</t>
  </si>
  <si>
    <t xml:space="preserve">Other / Expansion</t>
  </si>
  <si>
    <t xml:space="preserve">Other Pipeline Imports &amp; Storage Model</t>
  </si>
  <si>
    <t xml:space="preserve">Russian, North African, Azerbaijani supply + EU storage dynamics</t>
  </si>
  <si>
    <t xml:space="preserve">PIPELINE IMPORTS BY ROUTE (bcm/yr)</t>
  </si>
  <si>
    <t xml:space="preserve">Route / Source</t>
  </si>
  <si>
    <t xml:space="preserve">Via</t>
  </si>
  <si>
    <t xml:space="preserve">Notes / Scenario</t>
  </si>
  <si>
    <t xml:space="preserve">Russia — TurkStream</t>
  </si>
  <si>
    <t xml:space="preserve">Turkey → SEE</t>
  </si>
  <si>
    <t xml:space="preserve">Base case: gradual decline</t>
  </si>
  <si>
    <t xml:space="preserve">Russia — Ukraine transit</t>
  </si>
  <si>
    <t xml:space="preserve">Ukraine → CEE</t>
  </si>
  <si>
    <t xml:space="preserve">Contract expired Dec 2024</t>
  </si>
  <si>
    <t xml:space="preserve">Russia — Other / Bypass</t>
  </si>
  <si>
    <t xml:space="preserve">Scenario placeholder</t>
  </si>
  <si>
    <t xml:space="preserve">Algeria — Transmed</t>
  </si>
  <si>
    <t xml:space="preserve">Tunisia → Italy</t>
  </si>
  <si>
    <t xml:space="preserve">Sonatrach allocation</t>
  </si>
  <si>
    <t xml:space="preserve">Algeria — Medgaz</t>
  </si>
  <si>
    <t xml:space="preserve">Direct → Spain</t>
  </si>
  <si>
    <t xml:space="preserve">Direct subsea</t>
  </si>
  <si>
    <t xml:space="preserve">Libya — Greenstream</t>
  </si>
  <si>
    <t xml:space="preserve">Direct → Italy</t>
  </si>
  <si>
    <t xml:space="preserve">Unreliable, political risk</t>
  </si>
  <si>
    <t xml:space="preserve">Azerbaijan — TAP/TANAP</t>
  </si>
  <si>
    <t xml:space="preserve">Turkey → Italy/Greece</t>
  </si>
  <si>
    <t xml:space="preserve">Expansion possible post-2028</t>
  </si>
  <si>
    <t xml:space="preserve">TOTAL OTHER PIPELINE IMPORTS</t>
  </si>
  <si>
    <t xml:space="preserve">INDIGENOUS EU PRODUCTION (bcm/yr)</t>
  </si>
  <si>
    <t xml:space="preserve">Source</t>
  </si>
  <si>
    <t xml:space="preserve">Dutch small fields</t>
  </si>
  <si>
    <t xml:space="preserve">~15% decline/yr</t>
  </si>
  <si>
    <t xml:space="preserve">UKCS (feeds NBP → TTF via IUK/BBL)</t>
  </si>
  <si>
    <t xml:space="preserve">Terminal decline ~6%/yr</t>
  </si>
  <si>
    <t xml:space="preserve">Romania (inc Neptun Deep from ~2028)</t>
  </si>
  <si>
    <t xml:space="preserve">RO</t>
  </si>
  <si>
    <t xml:space="preserve">Black Sea upside</t>
  </si>
  <si>
    <t xml:space="preserve">Denmark / Poland / Other EU</t>
  </si>
  <si>
    <t xml:space="preserve">Declining baseline</t>
  </si>
  <si>
    <t xml:space="preserve">Biomethane / RNG</t>
  </si>
  <si>
    <t xml:space="preserve">EU-wide</t>
  </si>
  <si>
    <t xml:space="preserve">REPowerEU target path</t>
  </si>
  <si>
    <t xml:space="preserve">TOTAL INDIGENOUS PRODUCTION</t>
  </si>
  <si>
    <t xml:space="preserve">STORAGE DYNAMICS MODEL (bcm)</t>
  </si>
  <si>
    <t xml:space="preserve">Storage Parameter</t>
  </si>
  <si>
    <t xml:space="preserve">Working Gas Capacity</t>
  </si>
  <si>
    <t xml:space="preserve">Start-of-Year Inventory</t>
  </si>
  <si>
    <t xml:space="preserve">1 Jan level</t>
  </si>
  <si>
    <t xml:space="preserve">Mandatory Fill Target (1 Nov)</t>
  </si>
  <si>
    <t xml:space="preserve">EU regulation</t>
  </si>
  <si>
    <t xml:space="preserve">Target Inventory (1 Nov)</t>
  </si>
  <si>
    <t xml:space="preserve">Row above * capacity</t>
  </si>
  <si>
    <t xml:space="preserve">Required Net Injection (Jan-Oct)</t>
  </si>
  <si>
    <t xml:space="preserve">Target minus start level</t>
  </si>
  <si>
    <t xml:space="preserve">Winter Withdrawal (Nov-Mar)</t>
  </si>
  <si>
    <t xml:space="preserve">End-of-Winter Inventory</t>
  </si>
  <si>
    <t xml:space="preserve">Target inv minus withdrawal</t>
  </si>
  <si>
    <t xml:space="preserve">Max Withdrawal Rate (at 90% full)</t>
  </si>
  <si>
    <t xml:space="preserve">mcm/day</t>
  </si>
  <si>
    <t xml:space="preserve">Aggregate system</t>
  </si>
  <si>
    <t xml:space="preserve">Max Withdrawal Rate (at 30% full)</t>
  </si>
  <si>
    <t xml:space="preserve">Non-linear deliverability</t>
  </si>
  <si>
    <t xml:space="preserve">TTF Supply Stack &amp; Market Clearing Model</t>
  </si>
  <si>
    <t xml:space="preserve">Merit-order aggregation of all supply sources vs demand to derive implied TTF price</t>
  </si>
  <si>
    <t xml:space="preserve">SUPPLY STACK — MERIT ORDER (bcm/yr, ranked by marginal cost)</t>
  </si>
  <si>
    <t xml:space="preserve">Supply Source</t>
  </si>
  <si>
    <t xml:space="preserve">Marginal Cost Proxy</t>
  </si>
  <si>
    <t xml:space="preserve">Link</t>
  </si>
  <si>
    <t xml:space="preserve">1. Norwegian Pipeline</t>
  </si>
  <si>
    <t xml:space="preserve">Lifting + transport</t>
  </si>
  <si>
    <t xml:space="preserve">EUR/MWh</t>
  </si>
  <si>
    <t xml:space="preserve">'Norway Supply' net output</t>
  </si>
  <si>
    <t xml:space="preserve">   Volume (bcm)</t>
  </si>
  <si>
    <t xml:space="preserve">'='norway supply'!net row</t>
  </si>
  <si>
    <t xml:space="preserve">2. Indigenous EU Production</t>
  </si>
  <si>
    <t xml:space="preserve">Production cost</t>
  </si>
  <si>
    <t xml:space="preserve">'Pipeline &amp; Storage' EU prod</t>
  </si>
  <si>
    <t xml:space="preserve">'='pipeline &amp; storage'!eu total</t>
  </si>
  <si>
    <t xml:space="preserve">3. Algerian Pipeline</t>
  </si>
  <si>
    <t xml:space="preserve">Contract price (oil-indexed)</t>
  </si>
  <si>
    <t xml:space="preserve">'Pipeline &amp; Storage'!Algeria rows</t>
  </si>
  <si>
    <t xml:space="preserve">Sum Transmed + Medgaz</t>
  </si>
  <si>
    <t xml:space="preserve">4. Azerbaijani Pipeline</t>
  </si>
  <si>
    <t xml:space="preserve">Contract price</t>
  </si>
  <si>
    <t xml:space="preserve">'Pipeline &amp; Storage'!TAP row</t>
  </si>
  <si>
    <t xml:space="preserve">TAP/TANAP</t>
  </si>
  <si>
    <t xml:space="preserve">5. Russian Pipeline (residual)</t>
  </si>
  <si>
    <t xml:space="preserve">Contract / political</t>
  </si>
  <si>
    <t xml:space="preserve">Scenario dependent</t>
  </si>
  <si>
    <t xml:space="preserve">TurkStream + residual</t>
  </si>
  <si>
    <t xml:space="preserve">6. Storage Withdrawal</t>
  </si>
  <si>
    <t xml:space="preserve">Opportunity cost</t>
  </si>
  <si>
    <t xml:space="preserve">S/W spread implied</t>
  </si>
  <si>
    <t xml:space="preserve">Winter withdrawal</t>
  </si>
  <si>
    <t xml:space="preserve">7. LNG (Marginal Supply)</t>
  </si>
  <si>
    <t xml:space="preserve">Netback / arbitrage</t>
  </si>
  <si>
    <t xml:space="preserve">TTF clearing price driver</t>
  </si>
  <si>
    <t xml:space="preserve">'='lng supply'!arb-adjusted output</t>
  </si>
  <si>
    <t xml:space="preserve">TOTAL SUPPLY (bcm/yr)</t>
  </si>
  <si>
    <t xml:space="preserve">TOTAL DEMAND (bcm/yr)</t>
  </si>
  <si>
    <t xml:space="preserve">SURPLUS / (DEFICIT)</t>
  </si>
  <si>
    <t xml:space="preserve">IMPLIED TTF CLEARING PRICE</t>
  </si>
  <si>
    <t xml:space="preserve">LNG Marginal Cost (EUR/MWh)</t>
  </si>
  <si>
    <t xml:space="preserve">Sets the clearing price when LNG is marginal</t>
  </si>
  <si>
    <t xml:space="preserve">Supply-Demand Balance Adjustment</t>
  </si>
  <si>
    <t xml:space="preserve">Premium/(discount) for tightness</t>
  </si>
  <si>
    <t xml:space="preserve">Seasonality Adjustment (Winter Premium)</t>
  </si>
  <si>
    <t xml:space="preserve">Q1 avg premium over annual</t>
  </si>
  <si>
    <t xml:space="preserve">Carbon Cost Pass-Through</t>
  </si>
  <si>
    <t xml:space="preserve">EU ETS impact on switching price</t>
  </si>
  <si>
    <t xml:space="preserve">IMPLIED ANNUAL AVERAGE TTF (EUR/MWh)</t>
  </si>
  <si>
    <t xml:space="preserve">IMPLIED TTF (USD/MMBtu equivalent)</t>
  </si>
  <si>
    <t xml:space="preserve">Scenario Analysis — TTF Price Sensitivity</t>
  </si>
  <si>
    <t xml:space="preserve">Key risk scenarios and their impact on the supply stack and clearing price</t>
  </si>
  <si>
    <t xml:space="preserve">SCENARIO DEFINITIONS</t>
  </si>
  <si>
    <t xml:space="preserve">Scenario</t>
  </si>
  <si>
    <t xml:space="preserve">Key Assumption Change</t>
  </si>
  <si>
    <t xml:space="preserve">Supply Impact (bcm)</t>
  </si>
  <si>
    <t xml:space="preserve">Demand Impact (bcm)</t>
  </si>
  <si>
    <t xml:space="preserve">TTF Impact (EUR/MWh)</t>
  </si>
  <si>
    <t xml:space="preserve">Probability</t>
  </si>
  <si>
    <t xml:space="preserve">Duration</t>
  </si>
  <si>
    <t xml:space="preserve">Base Case</t>
  </si>
  <si>
    <t xml:space="preserve">All assumptions as per model tabs</t>
  </si>
  <si>
    <t xml:space="preserve">50%</t>
  </si>
  <si>
    <t xml:space="preserve">—</t>
  </si>
  <si>
    <t xml:space="preserve">Cold Winter</t>
  </si>
  <si>
    <t xml:space="preserve">HDD 15% above normal</t>
  </si>
  <si>
    <t xml:space="preserve">15%</t>
  </si>
  <si>
    <t xml:space="preserve">3-4 months</t>
  </si>
  <si>
    <t xml:space="preserve">Mild Winter</t>
  </si>
  <si>
    <t xml:space="preserve">HDD 15% below normal</t>
  </si>
  <si>
    <t xml:space="preserve">Full Russian Cutoff</t>
  </si>
  <si>
    <t xml:space="preserve">All Russian pipeline flows to zero</t>
  </si>
  <si>
    <t xml:space="preserve">10%</t>
  </si>
  <si>
    <t xml:space="preserve">Permanent</t>
  </si>
  <si>
    <t xml:space="preserve">Partial Russian Restoration</t>
  </si>
  <si>
    <t xml:space="preserve">TurkStream + new route = 30 bcm</t>
  </si>
  <si>
    <t xml:space="preserve">5%</t>
  </si>
  <si>
    <t xml:space="preserve">Structural</t>
  </si>
  <si>
    <t xml:space="preserve">Asian LNG Demand Surge</t>
  </si>
  <si>
    <t xml:space="preserve">JKM +$3/MMBtu, diverts 15MT from EU</t>
  </si>
  <si>
    <t xml:space="preserve">6-12 months</t>
  </si>
  <si>
    <t xml:space="preserve">Major Norwegian Outage</t>
  </si>
  <si>
    <t xml:space="preserve">Troll/Nyhamna 2-month shutdown</t>
  </si>
  <si>
    <t xml:space="preserve">2-3 months</t>
  </si>
  <si>
    <t xml:space="preserve">Accelerated Renewables</t>
  </si>
  <si>
    <t xml:space="preserve">Wind/solar +15% vs plan</t>
  </si>
  <si>
    <t xml:space="preserve">US LNG Supply Disruption</t>
  </si>
  <si>
    <t xml:space="preserve">Hurricane / plant outage</t>
  </si>
  <si>
    <t xml:space="preserve">8%</t>
  </si>
  <si>
    <t xml:space="preserve">1-3 months</t>
  </si>
  <si>
    <t xml:space="preserve">Qatar NFE Delay (1yr)</t>
  </si>
  <si>
    <t xml:space="preserve">Ramp pushed to 2028</t>
  </si>
  <si>
    <t xml:space="preserve">12 months</t>
  </si>
  <si>
    <t xml:space="preserve">Industrial Demand Recovery</t>
  </si>
  <si>
    <t xml:space="preserve">EU industrial rebound</t>
  </si>
  <si>
    <t xml:space="preserve">Storage Mandate Raised to 95%</t>
  </si>
  <si>
    <t xml:space="preserve">Additional 5.5 bcm required</t>
  </si>
  <si>
    <t xml:space="preserve">Annual</t>
  </si>
  <si>
    <t xml:space="preserve">SENSITIVITY TABLE — TTF PRICE IMPACT (EUR/MWh per unit change)</t>
  </si>
  <si>
    <t xml:space="preserve">Driver</t>
  </si>
  <si>
    <t xml:space="preserve">Unit Change</t>
  </si>
  <si>
    <t xml:space="preserve">Direction</t>
  </si>
  <si>
    <t xml:space="preserve">Confidence</t>
  </si>
  <si>
    <t xml:space="preserve">JKM Price</t>
  </si>
  <si>
    <t xml:space="preserve">+$1/MMBtu</t>
  </si>
  <si>
    <t xml:space="preserve">+3.0 to +4.0</t>
  </si>
  <si>
    <t xml:space="preserve">Positive</t>
  </si>
  <si>
    <t xml:space="preserve">High</t>
  </si>
  <si>
    <t xml:space="preserve">+€10/tCO2</t>
  </si>
  <si>
    <t xml:space="preserve">+2.0 to +3.0</t>
  </si>
  <si>
    <t xml:space="preserve">+$10/t</t>
  </si>
  <si>
    <t xml:space="preserve">-1.5 to -2.5</t>
  </si>
  <si>
    <t xml:space="preserve">Negative (coal switch)</t>
  </si>
  <si>
    <t xml:space="preserve">Medium</t>
  </si>
  <si>
    <t xml:space="preserve">Norwegian Production</t>
  </si>
  <si>
    <t xml:space="preserve">-5 bcm/yr</t>
  </si>
  <si>
    <t xml:space="preserve">+3.0 to +5.0</t>
  </si>
  <si>
    <t xml:space="preserve">Temperature (Winter)</t>
  </si>
  <si>
    <t xml:space="preserve">-1°C vs normal</t>
  </si>
  <si>
    <t xml:space="preserve">+2.0 to +3.5</t>
  </si>
  <si>
    <t xml:space="preserve">Wind Generation</t>
  </si>
  <si>
    <t xml:space="preserve">-10% vs normal</t>
  </si>
  <si>
    <t xml:space="preserve">+1.5 to +2.5</t>
  </si>
  <si>
    <t xml:space="preserve">-0.05 (EUR weaker)</t>
  </si>
  <si>
    <t xml:space="preserve">+1.0 to +2.0</t>
  </si>
  <si>
    <t xml:space="preserve">Positive (LNG cost up)</t>
  </si>
  <si>
    <t xml:space="preserve">Storage Level (1 Nov)</t>
  </si>
  <si>
    <t xml:space="preserve">-10% vs target</t>
  </si>
  <si>
    <t xml:space="preserve">+4.0 to +8.0</t>
  </si>
  <si>
    <t xml:space="preserve">Global LNG Supply</t>
  </si>
  <si>
    <t xml:space="preserve">-10 MTPA</t>
  </si>
  <si>
    <t xml:space="preserve">+5.0 to +8.0</t>
  </si>
  <si>
    <t xml:space="preserve">Shipping Rates</t>
  </si>
  <si>
    <t xml:space="preserve">+$0.50/MMBtu</t>
  </si>
  <si>
    <t xml:space="preserve">+1.5 to +2.0</t>
  </si>
  <si>
    <t xml:space="preserve">Data Sources &amp; Feed Requirements</t>
  </si>
  <si>
    <t xml:space="preserve">Required data feeds to operationalise this model</t>
  </si>
  <si>
    <t xml:space="preserve">Data Feed</t>
  </si>
  <si>
    <t xml:space="preserve">Frequency</t>
  </si>
  <si>
    <t xml:space="preserve">Format</t>
  </si>
  <si>
    <t xml:space="preserve">Key Variables</t>
  </si>
  <si>
    <t xml:space="preserve">Cost / Access</t>
  </si>
  <si>
    <t xml:space="preserve">TTF &amp; JKM Futures</t>
  </si>
  <si>
    <t xml:space="preserve">ICE / CME</t>
  </si>
  <si>
    <t xml:space="preserve">Real-time</t>
  </si>
  <si>
    <t xml:space="preserve">API / CSV</t>
  </si>
  <si>
    <t xml:space="preserve">Front-month, Cal strips, spreads</t>
  </si>
  <si>
    <t xml:space="preserve">Exchange subscription</t>
  </si>
  <si>
    <t xml:space="preserve">EU ETS Carbon Futures</t>
  </si>
  <si>
    <t xml:space="preserve">ICE Endex</t>
  </si>
  <si>
    <t xml:space="preserve">API</t>
  </si>
  <si>
    <t xml:space="preserve">EUA Dec contract</t>
  </si>
  <si>
    <t xml:space="preserve">API2 Coal Futures</t>
  </si>
  <si>
    <t xml:space="preserve">ICE</t>
  </si>
  <si>
    <t xml:space="preserve">Front-month, Cal strips</t>
  </si>
  <si>
    <t xml:space="preserve">Brent Crude Futures</t>
  </si>
  <si>
    <t xml:space="preserve">Norwegian Gas Flows</t>
  </si>
  <si>
    <t xml:space="preserve">Gassco / Entsog</t>
  </si>
  <si>
    <t xml:space="preserve">Hourly</t>
  </si>
  <si>
    <t xml:space="preserve">API / SFTP</t>
  </si>
  <si>
    <t xml:space="preserve">Nomination by exit point</t>
  </si>
  <si>
    <t xml:space="preserve">Free (Entsog TP)</t>
  </si>
  <si>
    <t xml:space="preserve">Norwegian Maintenance</t>
  </si>
  <si>
    <t xml:space="preserve">Gassco UMM</t>
  </si>
  <si>
    <t xml:space="preserve">As published</t>
  </si>
  <si>
    <t xml:space="preserve">RSS / API</t>
  </si>
  <si>
    <t xml:space="preserve">Plant, duration, capacity loss</t>
  </si>
  <si>
    <t xml:space="preserve">Free (REMIT UMM)</t>
  </si>
  <si>
    <t xml:space="preserve">EU Storage Levels</t>
  </si>
  <si>
    <t xml:space="preserve">Daily</t>
  </si>
  <si>
    <t xml:space="preserve">Country, facility, injection/withdrawal</t>
  </si>
  <si>
    <t xml:space="preserve">Free (API key)</t>
  </si>
  <si>
    <t xml:space="preserve">LNG Cargo Tracking</t>
  </si>
  <si>
    <t xml:space="preserve">Kpler / Vortexa</t>
  </si>
  <si>
    <t xml:space="preserve">Cargo, origin, destination, vessel</t>
  </si>
  <si>
    <t xml:space="preserve">Commercial subscription</t>
  </si>
  <si>
    <t xml:space="preserve">European Regas Nominations</t>
  </si>
  <si>
    <t xml:space="preserve">GIE ALSI</t>
  </si>
  <si>
    <t xml:space="preserve">Terminal send-out, utilisation</t>
  </si>
  <si>
    <t xml:space="preserve">Weather / HDD Forecasts</t>
  </si>
  <si>
    <t xml:space="preserve">ECMWF / DTN</t>
  </si>
  <si>
    <t xml:space="preserve">Daily+</t>
  </si>
  <si>
    <t xml:space="preserve">HDD by region, 15-day + seasonal</t>
  </si>
  <si>
    <t xml:space="preserve">Wind / Solar Forecasts</t>
  </si>
  <si>
    <t xml:space="preserve">Entsoe / Elexon</t>
  </si>
  <si>
    <t xml:space="preserve">Generation forecast by country</t>
  </si>
  <si>
    <t xml:space="preserve">Free (Entsoe TP)</t>
  </si>
  <si>
    <t xml:space="preserve">Pipeline Flow Data</t>
  </si>
  <si>
    <t xml:space="preserve">Entsog Transparency</t>
  </si>
  <si>
    <t xml:space="preserve">Cross-border flows, nominations</t>
  </si>
  <si>
    <t xml:space="preserve">Russian Gas Flows</t>
  </si>
  <si>
    <t xml:space="preserve">Entsog / OIES</t>
  </si>
  <si>
    <t xml:space="preserve">API / Report</t>
  </si>
  <si>
    <t xml:space="preserve">TurkStream, transit volumes</t>
  </si>
  <si>
    <t xml:space="preserve">Free / Subscription</t>
  </si>
  <si>
    <t xml:space="preserve">Global LNG Production</t>
  </si>
  <si>
    <t xml:space="preserve">GIIGNL / IHS</t>
  </si>
  <si>
    <t xml:space="preserve">Monthly</t>
  </si>
  <si>
    <t xml:space="preserve">Report / API</t>
  </si>
  <si>
    <t xml:space="preserve">Train-level output, utilisation</t>
  </si>
  <si>
    <t xml:space="preserve">FX Rates (EUR/USD)</t>
  </si>
  <si>
    <t xml:space="preserve">ECB / Bloomberg</t>
  </si>
  <si>
    <t xml:space="preserve">Spot, forwards</t>
  </si>
  <si>
    <t xml:space="preserve">Free (ECB) / Bloomberg</t>
  </si>
  <si>
    <t xml:space="preserve">LNG Shipping Rates</t>
  </si>
  <si>
    <t xml:space="preserve">Spot rate, route-specific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</si>
</sst>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#,##0.0"/>
    <numFmt numFmtId="167" formatCode="0\%"/>
    <numFmt numFmtId="168" formatCode="0.0%"/>
    <numFmt numFmtId="169" formatCode="0.000"/>
    <numFmt numFmtId="170" formatCode="0%"/>
    <numFmt numFmtId="171" formatCode="#,##0"/>
    <numFmt numFmtId="172" formatCode="#,##0;\(#,##0\);\-"/>
    <numFmt numFmtId="173" formatCode="\+#,##0;\-#,##0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DCE6F1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customFormat="false" ht="15" hidden="false" customHeight="true" outlineLevel="0" collapsed="false">
      <c r="A6" s="7" t="s">
        <v>11</v>
      </c>
      <c r="B6" s="8" t="s">
        <v>12</v>
      </c>
      <c r="C6" s="9" t="n">
        <v>1.08</v>
      </c>
      <c r="D6" s="9" t="n">
        <v>1.1</v>
      </c>
      <c r="E6" s="9" t="n">
        <v>1.12</v>
      </c>
      <c r="F6" s="9" t="n">
        <v>1.12</v>
      </c>
      <c r="G6" s="9" t="n">
        <v>1.12</v>
      </c>
      <c r="H6" s="10" t="s">
        <v>13</v>
      </c>
    </row>
    <row r="7" customFormat="false" ht="15" hidden="false" customHeight="true" outlineLevel="0" collapsed="false">
      <c r="A7" s="7" t="s">
        <v>14</v>
      </c>
      <c r="B7" s="8" t="s">
        <v>15</v>
      </c>
      <c r="C7" s="11" t="n">
        <v>65</v>
      </c>
      <c r="D7" s="11" t="n">
        <v>72</v>
      </c>
      <c r="E7" s="11" t="n">
        <v>80</v>
      </c>
      <c r="F7" s="11" t="n">
        <v>88</v>
      </c>
      <c r="G7" s="11" t="n">
        <v>95</v>
      </c>
      <c r="H7" s="10" t="s">
        <v>16</v>
      </c>
    </row>
    <row r="8" customFormat="false" ht="15" hidden="false" customHeight="true" outlineLevel="0" collapsed="false">
      <c r="A8" s="7" t="s">
        <v>17</v>
      </c>
      <c r="B8" s="8" t="s">
        <v>18</v>
      </c>
      <c r="C8" s="11" t="n">
        <v>110</v>
      </c>
      <c r="D8" s="11" t="n">
        <v>105</v>
      </c>
      <c r="E8" s="11" t="n">
        <v>100</v>
      </c>
      <c r="F8" s="11" t="n">
        <v>95</v>
      </c>
      <c r="G8" s="11" t="n">
        <v>90</v>
      </c>
      <c r="H8" s="10" t="s">
        <v>19</v>
      </c>
    </row>
    <row r="9" customFormat="false" ht="15" hidden="false" customHeight="true" outlineLevel="0" collapsed="false">
      <c r="A9" s="7" t="s">
        <v>20</v>
      </c>
      <c r="B9" s="8" t="s">
        <v>21</v>
      </c>
      <c r="C9" s="11" t="n">
        <v>78</v>
      </c>
      <c r="D9" s="11" t="n">
        <v>75</v>
      </c>
      <c r="E9" s="11" t="n">
        <v>72</v>
      </c>
      <c r="F9" s="11" t="n">
        <v>70</v>
      </c>
      <c r="G9" s="11" t="n">
        <v>70</v>
      </c>
      <c r="H9" s="10" t="s">
        <v>22</v>
      </c>
    </row>
    <row r="10" customFormat="false" ht="15" hidden="false" customHeight="true" outlineLevel="0" collapsed="false">
      <c r="A10" s="7" t="s">
        <v>23</v>
      </c>
      <c r="B10" s="8" t="s">
        <v>24</v>
      </c>
      <c r="C10" s="9" t="n">
        <v>12.5</v>
      </c>
      <c r="D10" s="9" t="n">
        <v>11.8</v>
      </c>
      <c r="E10" s="9" t="n">
        <v>11</v>
      </c>
      <c r="F10" s="9" t="n">
        <v>10.5</v>
      </c>
      <c r="G10" s="9" t="n">
        <v>10</v>
      </c>
      <c r="H10" s="10" t="s">
        <v>25</v>
      </c>
    </row>
    <row r="11" customFormat="false" ht="15" hidden="false" customHeight="true" outlineLevel="0" collapsed="false">
      <c r="A11" s="7" t="s">
        <v>26</v>
      </c>
      <c r="B11" s="8" t="s">
        <v>24</v>
      </c>
      <c r="C11" s="9" t="n">
        <v>1.5</v>
      </c>
      <c r="D11" s="9" t="n">
        <v>1.5</v>
      </c>
      <c r="E11" s="9" t="n">
        <v>1.5</v>
      </c>
      <c r="F11" s="9" t="n">
        <v>1.5</v>
      </c>
      <c r="G11" s="9" t="n">
        <v>1.5</v>
      </c>
      <c r="H11" s="10" t="s">
        <v>27</v>
      </c>
    </row>
    <row r="12" customFormat="false" ht="15" hidden="false" customHeight="true" outlineLevel="0" collapsed="false">
      <c r="A12" s="7" t="s">
        <v>28</v>
      </c>
      <c r="B12" s="8" t="s">
        <v>24</v>
      </c>
      <c r="C12" s="9" t="n">
        <v>0.8</v>
      </c>
      <c r="D12" s="9" t="n">
        <v>0.8</v>
      </c>
      <c r="E12" s="9" t="n">
        <v>0.75</v>
      </c>
      <c r="F12" s="9" t="n">
        <v>0.75</v>
      </c>
      <c r="G12" s="9" t="n">
        <v>0.7</v>
      </c>
      <c r="H12" s="10" t="s">
        <v>29</v>
      </c>
    </row>
    <row r="13" customFormat="false" ht="15" hidden="false" customHeight="true" outlineLevel="0" collapsed="false">
      <c r="A13" s="7" t="s">
        <v>30</v>
      </c>
      <c r="B13" s="8" t="s">
        <v>24</v>
      </c>
      <c r="C13" s="9" t="n">
        <v>2.2</v>
      </c>
      <c r="D13" s="9" t="n">
        <v>2.1</v>
      </c>
      <c r="E13" s="9" t="n">
        <v>2</v>
      </c>
      <c r="F13" s="9" t="n">
        <v>2</v>
      </c>
      <c r="G13" s="9" t="n">
        <v>1.9</v>
      </c>
      <c r="H13" s="10" t="s">
        <v>29</v>
      </c>
    </row>
    <row r="14" customFormat="false" ht="15" hidden="false" customHeight="true" outlineLevel="0" collapsed="false">
      <c r="A14" s="7" t="s">
        <v>31</v>
      </c>
      <c r="B14" s="8" t="s">
        <v>32</v>
      </c>
      <c r="C14" s="12" t="n">
        <v>90</v>
      </c>
      <c r="D14" s="12" t="n">
        <v>90</v>
      </c>
      <c r="E14" s="12" t="n">
        <v>90</v>
      </c>
      <c r="F14" s="12" t="n">
        <v>90</v>
      </c>
      <c r="G14" s="12" t="n">
        <v>90</v>
      </c>
      <c r="H14" s="10" t="s">
        <v>33</v>
      </c>
    </row>
    <row r="15" customFormat="false" ht="15" hidden="false" customHeight="true" outlineLevel="0" collapsed="false">
      <c r="A15" s="7" t="s">
        <v>34</v>
      </c>
      <c r="B15" s="8" t="s">
        <v>35</v>
      </c>
      <c r="C15" s="11" t="n">
        <v>110</v>
      </c>
      <c r="D15" s="11" t="n">
        <v>112</v>
      </c>
      <c r="E15" s="11" t="n">
        <v>114</v>
      </c>
      <c r="F15" s="11" t="n">
        <v>115</v>
      </c>
      <c r="G15" s="11" t="n">
        <v>115</v>
      </c>
      <c r="H15" s="10" t="s">
        <v>36</v>
      </c>
    </row>
    <row r="16" customFormat="false" ht="15" hidden="false" customHeight="true" outlineLevel="0" collapsed="false">
      <c r="A16" s="7" t="s">
        <v>37</v>
      </c>
      <c r="B16" s="8" t="s">
        <v>35</v>
      </c>
      <c r="C16" s="11" t="n">
        <v>340</v>
      </c>
      <c r="D16" s="11" t="n">
        <v>335</v>
      </c>
      <c r="E16" s="11" t="n">
        <v>330</v>
      </c>
      <c r="F16" s="11" t="n">
        <v>325</v>
      </c>
      <c r="G16" s="11" t="n">
        <v>320</v>
      </c>
      <c r="H16" s="10" t="s">
        <v>38</v>
      </c>
    </row>
    <row r="17" customFormat="false" ht="15" hidden="false" customHeight="true" outlineLevel="0" collapsed="false">
      <c r="A17" s="13" t="s">
        <v>39</v>
      </c>
      <c r="B17" s="8" t="s">
        <v>35</v>
      </c>
      <c r="C17" s="11" t="n">
        <v>95</v>
      </c>
      <c r="D17" s="11" t="n">
        <v>92</v>
      </c>
      <c r="E17" s="11" t="n">
        <v>88</v>
      </c>
      <c r="F17" s="11" t="n">
        <v>85</v>
      </c>
      <c r="G17" s="11" t="n">
        <v>82</v>
      </c>
      <c r="H17" s="10" t="s">
        <v>40</v>
      </c>
    </row>
    <row r="18" customFormat="false" ht="15" hidden="false" customHeight="true" outlineLevel="0" collapsed="false">
      <c r="A18" s="13" t="s">
        <v>41</v>
      </c>
      <c r="B18" s="8" t="s">
        <v>35</v>
      </c>
      <c r="C18" s="11" t="n">
        <v>105</v>
      </c>
      <c r="D18" s="11" t="n">
        <v>103</v>
      </c>
      <c r="E18" s="11" t="n">
        <v>102</v>
      </c>
      <c r="F18" s="11" t="n">
        <v>100</v>
      </c>
      <c r="G18" s="11" t="n">
        <v>98</v>
      </c>
      <c r="H18" s="10" t="s">
        <v>40</v>
      </c>
    </row>
    <row r="19" customFormat="false" ht="15" hidden="false" customHeight="true" outlineLevel="0" collapsed="false">
      <c r="A19" s="13" t="s">
        <v>42</v>
      </c>
      <c r="B19" s="8" t="s">
        <v>35</v>
      </c>
      <c r="C19" s="11" t="n">
        <v>140</v>
      </c>
      <c r="D19" s="11" t="n">
        <v>140</v>
      </c>
      <c r="E19" s="11" t="n">
        <v>140</v>
      </c>
      <c r="F19" s="11" t="n">
        <v>140</v>
      </c>
      <c r="G19" s="11" t="n">
        <v>140</v>
      </c>
      <c r="H19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8" min="4" style="1" width="14"/>
    <col collapsed="false" customWidth="true" hidden="false" outlineLevel="0" max="9" min="9" style="1" width="28"/>
  </cols>
  <sheetData>
    <row r="1" customFormat="false" ht="17.25" hidden="false" customHeight="true" outlineLevel="0" collapsed="false">
      <c r="A1" s="2" t="s">
        <v>44</v>
      </c>
    </row>
    <row r="2" customFormat="false" ht="15" hidden="false" customHeight="true" outlineLevel="0" collapsed="false">
      <c r="A2" s="3" t="s">
        <v>45</v>
      </c>
    </row>
    <row r="4" customFormat="false" ht="15" hidden="false" customHeight="true" outlineLevel="0" collapsed="false">
      <c r="A4" s="4" t="s">
        <v>46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true" outlineLevel="0" collapsed="false">
      <c r="A5" s="6" t="s">
        <v>47</v>
      </c>
      <c r="B5" s="6" t="s">
        <v>48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49</v>
      </c>
    </row>
    <row r="6" customFormat="false" ht="15" hidden="false" customHeight="true" outlineLevel="0" collapsed="false">
      <c r="A6" s="14" t="s">
        <v>50</v>
      </c>
      <c r="B6" s="15" t="s">
        <v>51</v>
      </c>
      <c r="C6" s="8" t="s">
        <v>52</v>
      </c>
      <c r="D6" s="11" t="n">
        <v>36</v>
      </c>
      <c r="E6" s="11" t="n">
        <v>35.5</v>
      </c>
      <c r="F6" s="11" t="n">
        <v>35</v>
      </c>
      <c r="G6" s="11" t="n">
        <v>34.5</v>
      </c>
      <c r="H6" s="11" t="n">
        <v>34</v>
      </c>
      <c r="I6" s="16" t="s">
        <v>53</v>
      </c>
    </row>
    <row r="7" customFormat="false" ht="15" hidden="false" customHeight="true" outlineLevel="0" collapsed="false">
      <c r="A7" s="14" t="s">
        <v>54</v>
      </c>
      <c r="B7" s="15" t="s">
        <v>55</v>
      </c>
      <c r="C7" s="8" t="s">
        <v>52</v>
      </c>
      <c r="D7" s="11" t="n">
        <v>14</v>
      </c>
      <c r="E7" s="11" t="n">
        <v>13.5</v>
      </c>
      <c r="F7" s="11" t="n">
        <v>13</v>
      </c>
      <c r="G7" s="11" t="n">
        <v>12.5</v>
      </c>
      <c r="H7" s="11" t="n">
        <v>12</v>
      </c>
      <c r="I7" s="16" t="s">
        <v>56</v>
      </c>
    </row>
    <row r="8" customFormat="false" ht="15" hidden="false" customHeight="true" outlineLevel="0" collapsed="false">
      <c r="A8" s="14" t="s">
        <v>57</v>
      </c>
      <c r="B8" s="15" t="s">
        <v>51</v>
      </c>
      <c r="C8" s="8" t="s">
        <v>52</v>
      </c>
      <c r="D8" s="11" t="n">
        <v>7.5</v>
      </c>
      <c r="E8" s="11" t="n">
        <v>7.2</v>
      </c>
      <c r="F8" s="11" t="n">
        <v>6.9</v>
      </c>
      <c r="G8" s="11" t="n">
        <v>6.6</v>
      </c>
      <c r="H8" s="11" t="n">
        <v>6.3</v>
      </c>
      <c r="I8" s="16" t="s">
        <v>58</v>
      </c>
    </row>
    <row r="9" customFormat="false" ht="15" hidden="false" customHeight="true" outlineLevel="0" collapsed="false">
      <c r="A9" s="14" t="s">
        <v>59</v>
      </c>
      <c r="B9" s="15" t="s">
        <v>51</v>
      </c>
      <c r="C9" s="8" t="s">
        <v>52</v>
      </c>
      <c r="D9" s="11" t="n">
        <v>3.5</v>
      </c>
      <c r="E9" s="11" t="n">
        <v>3.3</v>
      </c>
      <c r="F9" s="11" t="n">
        <v>3.1</v>
      </c>
      <c r="G9" s="11" t="n">
        <v>2.9</v>
      </c>
      <c r="H9" s="11" t="n">
        <v>2.7</v>
      </c>
      <c r="I9" s="16" t="s">
        <v>60</v>
      </c>
    </row>
    <row r="10" customFormat="false" ht="15" hidden="false" customHeight="true" outlineLevel="0" collapsed="false">
      <c r="A10" s="14" t="s">
        <v>61</v>
      </c>
      <c r="B10" s="15" t="s">
        <v>51</v>
      </c>
      <c r="C10" s="8" t="s">
        <v>52</v>
      </c>
      <c r="D10" s="11" t="n">
        <v>5</v>
      </c>
      <c r="E10" s="11" t="n">
        <v>4.8</v>
      </c>
      <c r="F10" s="11" t="n">
        <v>4.6</v>
      </c>
      <c r="G10" s="11" t="n">
        <v>4.4</v>
      </c>
      <c r="H10" s="11" t="n">
        <v>4.2</v>
      </c>
      <c r="I10" s="16" t="s">
        <v>58</v>
      </c>
    </row>
    <row r="11" customFormat="false" ht="15" hidden="false" customHeight="true" outlineLevel="0" collapsed="false">
      <c r="A11" s="14" t="s">
        <v>62</v>
      </c>
      <c r="B11" s="15" t="s">
        <v>63</v>
      </c>
      <c r="C11" s="8" t="s">
        <v>52</v>
      </c>
      <c r="D11" s="11" t="n">
        <v>4</v>
      </c>
      <c r="E11" s="11" t="n">
        <v>3.8</v>
      </c>
      <c r="F11" s="11" t="n">
        <v>3.6</v>
      </c>
      <c r="G11" s="11" t="n">
        <v>3.4</v>
      </c>
      <c r="H11" s="11" t="n">
        <v>3.2</v>
      </c>
      <c r="I11" s="16" t="s">
        <v>64</v>
      </c>
    </row>
    <row r="12" customFormat="false" ht="15" hidden="false" customHeight="true" outlineLevel="0" collapsed="false">
      <c r="A12" s="14" t="s">
        <v>65</v>
      </c>
      <c r="B12" s="15" t="s">
        <v>66</v>
      </c>
      <c r="C12" s="8" t="s">
        <v>52</v>
      </c>
      <c r="D12" s="11" t="n">
        <v>2.5</v>
      </c>
      <c r="E12" s="11" t="n">
        <v>2.3</v>
      </c>
      <c r="F12" s="11" t="n">
        <v>2.1</v>
      </c>
      <c r="G12" s="11" t="n">
        <v>2</v>
      </c>
      <c r="H12" s="11" t="n">
        <v>1.9</v>
      </c>
      <c r="I12" s="16" t="s">
        <v>67</v>
      </c>
    </row>
    <row r="13" customFormat="false" ht="15" hidden="false" customHeight="true" outlineLevel="0" collapsed="false">
      <c r="A13" s="14" t="s">
        <v>68</v>
      </c>
      <c r="B13" s="15" t="s">
        <v>69</v>
      </c>
      <c r="C13" s="8" t="s">
        <v>52</v>
      </c>
      <c r="D13" s="11" t="n">
        <v>20</v>
      </c>
      <c r="E13" s="11" t="n">
        <v>19</v>
      </c>
      <c r="F13" s="11" t="n">
        <v>18</v>
      </c>
      <c r="G13" s="11" t="n">
        <v>17</v>
      </c>
      <c r="H13" s="11" t="n">
        <v>16</v>
      </c>
      <c r="I13" s="16" t="s">
        <v>70</v>
      </c>
    </row>
    <row r="14" customFormat="false" ht="15" hidden="false" customHeight="true" outlineLevel="0" collapsed="false">
      <c r="A14" s="17" t="s">
        <v>71</v>
      </c>
      <c r="D14" s="18" t="n">
        <f aca="false">SUM(D6:D13)</f>
        <v>92.5</v>
      </c>
      <c r="E14" s="18" t="n">
        <f aca="false">SUM(E6:E13)</f>
        <v>89.4</v>
      </c>
      <c r="F14" s="18" t="n">
        <f aca="false">SUM(F6:F13)</f>
        <v>86.3</v>
      </c>
      <c r="G14" s="18" t="n">
        <f aca="false">SUM(G6:G13)</f>
        <v>83.3</v>
      </c>
      <c r="H14" s="18" t="n">
        <f aca="false">SUM(H6:H13)</f>
        <v>80.3</v>
      </c>
    </row>
    <row r="16" customFormat="false" ht="15" hidden="false" customHeight="true" outlineLevel="0" collapsed="false">
      <c r="A16" s="19" t="s">
        <v>72</v>
      </c>
      <c r="B16" s="20"/>
      <c r="C16" s="20"/>
      <c r="D16" s="20"/>
      <c r="E16" s="20"/>
      <c r="F16" s="20"/>
      <c r="G16" s="20"/>
      <c r="H16" s="20"/>
      <c r="I16" s="20"/>
    </row>
    <row r="17" customFormat="false" ht="15" hidden="false" customHeight="true" outlineLevel="0" collapsed="false">
      <c r="A17" s="6" t="s">
        <v>73</v>
      </c>
      <c r="B17" s="6"/>
      <c r="C17" s="6" t="s">
        <v>4</v>
      </c>
      <c r="D17" s="6" t="s">
        <v>5</v>
      </c>
      <c r="E17" s="6" t="s">
        <v>6</v>
      </c>
      <c r="F17" s="6" t="s">
        <v>7</v>
      </c>
      <c r="G17" s="6" t="s">
        <v>8</v>
      </c>
      <c r="H17" s="6" t="s">
        <v>9</v>
      </c>
      <c r="I17" s="6" t="s">
        <v>49</v>
      </c>
    </row>
    <row r="18" customFormat="false" ht="15" hidden="false" customHeight="true" outlineLevel="0" collapsed="false">
      <c r="A18" s="14" t="s">
        <v>74</v>
      </c>
      <c r="C18" s="8" t="s">
        <v>52</v>
      </c>
      <c r="D18" s="21" t="n">
        <v>8</v>
      </c>
      <c r="E18" s="21" t="n">
        <v>8.5</v>
      </c>
      <c r="F18" s="21" t="n">
        <v>9</v>
      </c>
      <c r="G18" s="21" t="n">
        <v>9.5</v>
      </c>
      <c r="H18" s="21" t="n">
        <v>10</v>
      </c>
      <c r="I18" s="16" t="s">
        <v>75</v>
      </c>
    </row>
    <row r="19" customFormat="false" ht="15" hidden="false" customHeight="true" outlineLevel="0" collapsed="false">
      <c r="A19" s="14" t="s">
        <v>76</v>
      </c>
      <c r="C19" s="8" t="s">
        <v>52</v>
      </c>
      <c r="D19" s="21" t="n">
        <v>3</v>
      </c>
      <c r="E19" s="21" t="n">
        <v>3</v>
      </c>
      <c r="F19" s="21" t="n">
        <v>3</v>
      </c>
      <c r="G19" s="21" t="n">
        <v>3</v>
      </c>
      <c r="H19" s="21" t="n">
        <v>3</v>
      </c>
      <c r="I19" s="16" t="s">
        <v>77</v>
      </c>
    </row>
    <row r="20" customFormat="false" ht="15" hidden="false" customHeight="true" outlineLevel="0" collapsed="false">
      <c r="A20" s="14" t="s">
        <v>78</v>
      </c>
      <c r="C20" s="8" t="s">
        <v>52</v>
      </c>
      <c r="D20" s="21" t="n">
        <v>1.5</v>
      </c>
      <c r="E20" s="21" t="n">
        <v>1.5</v>
      </c>
      <c r="F20" s="21" t="n">
        <v>1.5</v>
      </c>
      <c r="G20" s="21" t="n">
        <v>1.5</v>
      </c>
      <c r="H20" s="21" t="n">
        <v>1.5</v>
      </c>
      <c r="I20" s="16" t="s">
        <v>79</v>
      </c>
    </row>
    <row r="21" customFormat="false" ht="15" hidden="false" customHeight="true" outlineLevel="0" collapsed="false">
      <c r="A21" s="17" t="s">
        <v>80</v>
      </c>
      <c r="D21" s="18" t="n">
        <f aca="false">SUM(D18:D20)</f>
        <v>12.5</v>
      </c>
      <c r="E21" s="18" t="n">
        <f aca="false">SUM(E18:E20)</f>
        <v>13</v>
      </c>
      <c r="F21" s="18" t="n">
        <f aca="false">SUM(F18:F20)</f>
        <v>13.5</v>
      </c>
      <c r="G21" s="18" t="n">
        <f aca="false">SUM(G18:G20)</f>
        <v>14</v>
      </c>
      <c r="H21" s="18" t="n">
        <f aca="false">SUM(H18:H20)</f>
        <v>14.5</v>
      </c>
    </row>
    <row r="23" customFormat="false" ht="15" hidden="false" customHeight="true" outlineLevel="0" collapsed="false">
      <c r="A23" s="22" t="s">
        <v>81</v>
      </c>
      <c r="B23" s="23"/>
      <c r="C23" s="23"/>
      <c r="D23" s="24" t="n">
        <f aca="false">D14-D21</f>
        <v>80</v>
      </c>
      <c r="E23" s="24" t="n">
        <f aca="false">E14-E21</f>
        <v>76.4</v>
      </c>
      <c r="F23" s="24" t="n">
        <f aca="false">F14-F21</f>
        <v>72.8</v>
      </c>
      <c r="G23" s="24" t="n">
        <f aca="false">G14-G21</f>
        <v>69.3</v>
      </c>
      <c r="H23" s="24" t="n">
        <f aca="false">H14-H21</f>
        <v>65.8</v>
      </c>
      <c r="I23" s="23"/>
    </row>
    <row r="25" customFormat="false" ht="15" hidden="false" customHeight="true" outlineLevel="0" collapsed="false">
      <c r="A25" s="4" t="s">
        <v>82</v>
      </c>
      <c r="B25" s="5"/>
      <c r="C25" s="5"/>
      <c r="D25" s="5"/>
      <c r="E25" s="5"/>
      <c r="F25" s="5"/>
      <c r="G25" s="5"/>
      <c r="H25" s="5"/>
      <c r="I25" s="5"/>
    </row>
    <row r="26" customFormat="false" ht="15" hidden="false" customHeight="true" outlineLevel="0" collapsed="false">
      <c r="A26" s="6" t="s">
        <v>83</v>
      </c>
      <c r="B26" s="6" t="s">
        <v>84</v>
      </c>
      <c r="C26" s="6" t="s">
        <v>85</v>
      </c>
      <c r="D26" s="6" t="s">
        <v>5</v>
      </c>
      <c r="E26" s="6" t="s">
        <v>6</v>
      </c>
      <c r="F26" s="6" t="s">
        <v>7</v>
      </c>
      <c r="G26" s="6" t="s">
        <v>8</v>
      </c>
      <c r="H26" s="6" t="s">
        <v>9</v>
      </c>
      <c r="I26" s="6" t="s">
        <v>86</v>
      </c>
    </row>
    <row r="27" customFormat="false" ht="15" hidden="false" customHeight="true" outlineLevel="0" collapsed="false">
      <c r="A27" s="14" t="s">
        <v>87</v>
      </c>
      <c r="B27" s="15" t="s">
        <v>88</v>
      </c>
      <c r="C27" s="25" t="n">
        <v>18</v>
      </c>
      <c r="D27" s="11" t="n">
        <v>16.5</v>
      </c>
      <c r="E27" s="11" t="n">
        <v>16</v>
      </c>
      <c r="F27" s="11" t="n">
        <v>15.5</v>
      </c>
      <c r="G27" s="11" t="n">
        <v>15</v>
      </c>
      <c r="H27" s="11" t="n">
        <v>14.5</v>
      </c>
      <c r="I27" s="26" t="n">
        <f aca="false">D27/C27</f>
        <v>0.916666666666667</v>
      </c>
    </row>
    <row r="28" customFormat="false" ht="15" hidden="false" customHeight="true" outlineLevel="0" collapsed="false">
      <c r="A28" s="14" t="s">
        <v>89</v>
      </c>
      <c r="B28" s="15" t="s">
        <v>88</v>
      </c>
      <c r="C28" s="25" t="n">
        <v>24</v>
      </c>
      <c r="D28" s="11" t="n">
        <v>22</v>
      </c>
      <c r="E28" s="11" t="n">
        <v>21.5</v>
      </c>
      <c r="F28" s="11" t="n">
        <v>21</v>
      </c>
      <c r="G28" s="11" t="n">
        <v>20.5</v>
      </c>
      <c r="H28" s="11" t="n">
        <v>20</v>
      </c>
      <c r="I28" s="26" t="n">
        <f aca="false">D28/C28</f>
        <v>0.916666666666667</v>
      </c>
    </row>
    <row r="29" customFormat="false" ht="15" hidden="false" customHeight="true" outlineLevel="0" collapsed="false">
      <c r="A29" s="14" t="s">
        <v>90</v>
      </c>
      <c r="B29" s="15" t="s">
        <v>91</v>
      </c>
      <c r="C29" s="25" t="n">
        <v>20</v>
      </c>
      <c r="D29" s="11" t="n">
        <v>18</v>
      </c>
      <c r="E29" s="11" t="n">
        <v>17.5</v>
      </c>
      <c r="F29" s="11" t="n">
        <v>17</v>
      </c>
      <c r="G29" s="11" t="n">
        <v>16.5</v>
      </c>
      <c r="H29" s="11" t="n">
        <v>16</v>
      </c>
      <c r="I29" s="26" t="n">
        <f aca="false">D29/C29</f>
        <v>0.9</v>
      </c>
    </row>
    <row r="30" customFormat="false" ht="15" hidden="false" customHeight="true" outlineLevel="0" collapsed="false">
      <c r="A30" s="14" t="s">
        <v>92</v>
      </c>
      <c r="B30" s="15" t="s">
        <v>93</v>
      </c>
      <c r="C30" s="25" t="n">
        <v>26</v>
      </c>
      <c r="D30" s="11" t="n">
        <v>14</v>
      </c>
      <c r="E30" s="11" t="n">
        <v>13.5</v>
      </c>
      <c r="F30" s="11" t="n">
        <v>13</v>
      </c>
      <c r="G30" s="11" t="n">
        <v>12.5</v>
      </c>
      <c r="H30" s="11" t="n">
        <v>12</v>
      </c>
      <c r="I30" s="26" t="n">
        <f aca="false">D30/C30</f>
        <v>0.538461538461538</v>
      </c>
    </row>
    <row r="31" customFormat="false" ht="15" hidden="false" customHeight="true" outlineLevel="0" collapsed="false">
      <c r="A31" s="14" t="s">
        <v>94</v>
      </c>
      <c r="B31" s="15" t="s">
        <v>95</v>
      </c>
      <c r="C31" s="25" t="n">
        <v>16</v>
      </c>
      <c r="D31" s="11" t="n">
        <v>6</v>
      </c>
      <c r="E31" s="11" t="n">
        <v>5.8</v>
      </c>
      <c r="F31" s="11" t="n">
        <v>5.6</v>
      </c>
      <c r="G31" s="11" t="n">
        <v>5.4</v>
      </c>
      <c r="H31" s="11" t="n">
        <v>5.2</v>
      </c>
      <c r="I31" s="26" t="n">
        <f aca="false">D31/C31</f>
        <v>0.375</v>
      </c>
    </row>
    <row r="32" customFormat="false" ht="15" hidden="false" customHeight="true" outlineLevel="0" collapsed="false">
      <c r="A32" s="14" t="s">
        <v>96</v>
      </c>
      <c r="B32" s="15" t="s">
        <v>97</v>
      </c>
      <c r="C32" s="25" t="n">
        <v>15</v>
      </c>
      <c r="D32" s="11" t="n">
        <v>4</v>
      </c>
      <c r="E32" s="11" t="n">
        <v>3.8</v>
      </c>
      <c r="F32" s="11" t="n">
        <v>3.6</v>
      </c>
      <c r="G32" s="11" t="n">
        <v>3.4</v>
      </c>
      <c r="H32" s="11" t="n">
        <v>3.2</v>
      </c>
      <c r="I32" s="26" t="n">
        <f aca="false">D32/C32</f>
        <v>0.266666666666667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9" min="5" style="1" width="14"/>
    <col collapsed="false" customWidth="true" hidden="false" outlineLevel="0" max="10" min="10" style="1" width="32"/>
  </cols>
  <sheetData>
    <row r="1" customFormat="false" ht="17.25" hidden="false" customHeight="true" outlineLevel="0" collapsed="false">
      <c r="A1" s="2" t="s">
        <v>98</v>
      </c>
    </row>
    <row r="2" customFormat="false" ht="15" hidden="false" customHeight="true" outlineLevel="0" collapsed="false">
      <c r="A2" s="3" t="s">
        <v>99</v>
      </c>
    </row>
    <row r="4" customFormat="false" ht="15" hidden="false" customHeight="true" outlineLevel="0" collapsed="false">
      <c r="A4" s="4" t="s">
        <v>100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true" outlineLevel="0" collapsed="false">
      <c r="A5" s="6" t="s">
        <v>101</v>
      </c>
      <c r="B5" s="6" t="s">
        <v>102</v>
      </c>
      <c r="C5" s="6" t="s">
        <v>103</v>
      </c>
      <c r="D5" s="6" t="s">
        <v>104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49</v>
      </c>
    </row>
    <row r="6" customFormat="false" ht="15" hidden="false" customHeight="true" outlineLevel="0" collapsed="false">
      <c r="A6" s="14" t="s">
        <v>105</v>
      </c>
      <c r="B6" s="15" t="s">
        <v>106</v>
      </c>
      <c r="C6" s="15" t="s">
        <v>107</v>
      </c>
      <c r="D6" s="25" t="n">
        <v>30</v>
      </c>
      <c r="E6" s="11" t="n">
        <v>28.5</v>
      </c>
      <c r="F6" s="11" t="n">
        <v>28.5</v>
      </c>
      <c r="G6" s="11" t="n">
        <v>28.5</v>
      </c>
      <c r="H6" s="11" t="n">
        <v>28.5</v>
      </c>
      <c r="I6" s="11" t="n">
        <v>28.5</v>
      </c>
      <c r="J6" s="16" t="s">
        <v>108</v>
      </c>
    </row>
    <row r="7" customFormat="false" ht="15" hidden="false" customHeight="true" outlineLevel="0" collapsed="false">
      <c r="A7" s="14" t="s">
        <v>109</v>
      </c>
      <c r="B7" s="15" t="s">
        <v>106</v>
      </c>
      <c r="C7" s="15" t="s">
        <v>107</v>
      </c>
      <c r="D7" s="25" t="n">
        <v>15</v>
      </c>
      <c r="E7" s="11" t="n">
        <v>13.5</v>
      </c>
      <c r="F7" s="11" t="n">
        <v>13.5</v>
      </c>
      <c r="G7" s="11" t="n">
        <v>13.5</v>
      </c>
      <c r="H7" s="11" t="n">
        <v>13.5</v>
      </c>
      <c r="I7" s="11" t="n">
        <v>13.5</v>
      </c>
      <c r="J7" s="16" t="s">
        <v>110</v>
      </c>
    </row>
    <row r="8" customFormat="false" ht="15" hidden="false" customHeight="true" outlineLevel="0" collapsed="false">
      <c r="A8" s="14" t="s">
        <v>111</v>
      </c>
      <c r="B8" s="15" t="s">
        <v>106</v>
      </c>
      <c r="C8" s="15" t="s">
        <v>107</v>
      </c>
      <c r="D8" s="25" t="n">
        <v>15</v>
      </c>
      <c r="E8" s="11" t="n">
        <v>13.5</v>
      </c>
      <c r="F8" s="11" t="n">
        <v>13.5</v>
      </c>
      <c r="G8" s="11" t="n">
        <v>13.5</v>
      </c>
      <c r="H8" s="11" t="n">
        <v>13.5</v>
      </c>
      <c r="I8" s="11" t="n">
        <v>13.5</v>
      </c>
      <c r="J8" s="16" t="s">
        <v>112</v>
      </c>
    </row>
    <row r="9" customFormat="false" ht="15" hidden="false" customHeight="true" outlineLevel="0" collapsed="false">
      <c r="A9" s="14" t="s">
        <v>113</v>
      </c>
      <c r="B9" s="15" t="s">
        <v>106</v>
      </c>
      <c r="C9" s="15" t="s">
        <v>114</v>
      </c>
      <c r="D9" s="25" t="n">
        <v>25</v>
      </c>
      <c r="E9" s="11" t="n">
        <v>20</v>
      </c>
      <c r="F9" s="11" t="n">
        <v>22</v>
      </c>
      <c r="G9" s="11" t="n">
        <v>25</v>
      </c>
      <c r="H9" s="11" t="n">
        <v>25</v>
      </c>
      <c r="I9" s="11" t="n">
        <v>25</v>
      </c>
      <c r="J9" s="16" t="s">
        <v>115</v>
      </c>
    </row>
    <row r="10" customFormat="false" ht="15" hidden="false" customHeight="true" outlineLevel="0" collapsed="false">
      <c r="A10" s="14" t="s">
        <v>116</v>
      </c>
      <c r="B10" s="15" t="s">
        <v>106</v>
      </c>
      <c r="C10" s="15" t="s">
        <v>117</v>
      </c>
      <c r="D10" s="25" t="n">
        <v>20</v>
      </c>
      <c r="E10" s="11" t="n">
        <v>5</v>
      </c>
      <c r="F10" s="11" t="n">
        <v>12</v>
      </c>
      <c r="G10" s="11" t="n">
        <v>18</v>
      </c>
      <c r="H10" s="11" t="n">
        <v>20</v>
      </c>
      <c r="I10" s="11" t="n">
        <v>20</v>
      </c>
      <c r="J10" s="16" t="s">
        <v>118</v>
      </c>
    </row>
    <row r="11" customFormat="false" ht="15" hidden="false" customHeight="true" outlineLevel="0" collapsed="false">
      <c r="A11" s="14" t="s">
        <v>119</v>
      </c>
      <c r="B11" s="15" t="s">
        <v>106</v>
      </c>
      <c r="C11" s="15" t="s">
        <v>117</v>
      </c>
      <c r="D11" s="25" t="n">
        <v>18</v>
      </c>
      <c r="E11" s="11" t="n">
        <v>0</v>
      </c>
      <c r="F11" s="11" t="n">
        <v>4</v>
      </c>
      <c r="G11" s="11" t="n">
        <v>12</v>
      </c>
      <c r="H11" s="11" t="n">
        <v>16</v>
      </c>
      <c r="I11" s="11" t="n">
        <v>18</v>
      </c>
      <c r="J11" s="16" t="s">
        <v>120</v>
      </c>
    </row>
    <row r="12" customFormat="false" ht="15" hidden="false" customHeight="true" outlineLevel="0" collapsed="false">
      <c r="A12" s="14" t="s">
        <v>121</v>
      </c>
      <c r="B12" s="15" t="s">
        <v>106</v>
      </c>
      <c r="C12" s="15" t="s">
        <v>122</v>
      </c>
      <c r="D12" s="25" t="n">
        <v>25</v>
      </c>
      <c r="E12" s="11" t="n">
        <v>0</v>
      </c>
      <c r="F12" s="11" t="n">
        <v>0</v>
      </c>
      <c r="G12" s="11" t="n">
        <v>0</v>
      </c>
      <c r="H12" s="11" t="n">
        <v>5</v>
      </c>
      <c r="I12" s="11" t="n">
        <v>12</v>
      </c>
      <c r="J12" s="16" t="s">
        <v>123</v>
      </c>
    </row>
    <row r="13" customFormat="false" ht="15" hidden="false" customHeight="true" outlineLevel="0" collapsed="false">
      <c r="A13" s="14" t="s">
        <v>124</v>
      </c>
      <c r="B13" s="15" t="s">
        <v>125</v>
      </c>
      <c r="C13" s="15" t="s">
        <v>117</v>
      </c>
      <c r="D13" s="25" t="n">
        <v>32</v>
      </c>
      <c r="E13" s="11" t="n">
        <v>0</v>
      </c>
      <c r="F13" s="11" t="n">
        <v>8</v>
      </c>
      <c r="G13" s="11" t="n">
        <v>20</v>
      </c>
      <c r="H13" s="11" t="n">
        <v>32</v>
      </c>
      <c r="I13" s="11" t="n">
        <v>32</v>
      </c>
      <c r="J13" s="16" t="s">
        <v>126</v>
      </c>
    </row>
    <row r="14" customFormat="false" ht="15" hidden="false" customHeight="true" outlineLevel="0" collapsed="false">
      <c r="A14" s="14" t="s">
        <v>127</v>
      </c>
      <c r="B14" s="15" t="s">
        <v>125</v>
      </c>
      <c r="C14" s="15" t="s">
        <v>117</v>
      </c>
      <c r="D14" s="25" t="n">
        <v>16</v>
      </c>
      <c r="E14" s="11" t="n">
        <v>0</v>
      </c>
      <c r="F14" s="11" t="n">
        <v>0</v>
      </c>
      <c r="G14" s="11" t="n">
        <v>0</v>
      </c>
      <c r="H14" s="11" t="n">
        <v>4</v>
      </c>
      <c r="I14" s="11" t="n">
        <v>12</v>
      </c>
      <c r="J14" s="16" t="s">
        <v>128</v>
      </c>
    </row>
    <row r="15" customFormat="false" ht="15" hidden="false" customHeight="true" outlineLevel="0" collapsed="false">
      <c r="A15" s="14" t="s">
        <v>129</v>
      </c>
      <c r="B15" s="15" t="s">
        <v>125</v>
      </c>
      <c r="C15" s="15" t="s">
        <v>107</v>
      </c>
      <c r="D15" s="25" t="n">
        <v>77</v>
      </c>
      <c r="E15" s="11" t="n">
        <v>77</v>
      </c>
      <c r="F15" s="11" t="n">
        <v>77</v>
      </c>
      <c r="G15" s="11" t="n">
        <v>77</v>
      </c>
      <c r="H15" s="11" t="n">
        <v>77</v>
      </c>
      <c r="I15" s="11" t="n">
        <v>77</v>
      </c>
      <c r="J15" s="16" t="s">
        <v>130</v>
      </c>
    </row>
    <row r="16" customFormat="false" ht="15" hidden="false" customHeight="true" outlineLevel="0" collapsed="false">
      <c r="A16" s="14" t="s">
        <v>131</v>
      </c>
      <c r="B16" s="15" t="s">
        <v>132</v>
      </c>
      <c r="C16" s="15" t="s">
        <v>107</v>
      </c>
      <c r="D16" s="25" t="n">
        <v>15.6</v>
      </c>
      <c r="E16" s="11" t="n">
        <v>14</v>
      </c>
      <c r="F16" s="11" t="n">
        <v>14</v>
      </c>
      <c r="G16" s="11" t="n">
        <v>13.5</v>
      </c>
      <c r="H16" s="11" t="n">
        <v>13.5</v>
      </c>
      <c r="I16" s="11" t="n">
        <v>13</v>
      </c>
      <c r="J16" s="16" t="s">
        <v>133</v>
      </c>
    </row>
    <row r="17" customFormat="false" ht="15" hidden="false" customHeight="true" outlineLevel="0" collapsed="false">
      <c r="A17" s="14" t="s">
        <v>134</v>
      </c>
      <c r="B17" s="15" t="s">
        <v>132</v>
      </c>
      <c r="C17" s="15" t="s">
        <v>107</v>
      </c>
      <c r="D17" s="25" t="n">
        <v>40</v>
      </c>
      <c r="E17" s="11" t="n">
        <v>36</v>
      </c>
      <c r="F17" s="11" t="n">
        <v>35.5</v>
      </c>
      <c r="G17" s="11" t="n">
        <v>35</v>
      </c>
      <c r="H17" s="11" t="n">
        <v>34.5</v>
      </c>
      <c r="I17" s="11" t="n">
        <v>34</v>
      </c>
      <c r="J17" s="16" t="s">
        <v>135</v>
      </c>
    </row>
    <row r="18" customFormat="false" ht="15" hidden="false" customHeight="true" outlineLevel="0" collapsed="false">
      <c r="A18" s="14" t="s">
        <v>136</v>
      </c>
      <c r="B18" s="15" t="s">
        <v>137</v>
      </c>
      <c r="C18" s="15" t="s">
        <v>138</v>
      </c>
      <c r="D18" s="25" t="n">
        <v>30</v>
      </c>
      <c r="E18" s="11" t="n">
        <v>22</v>
      </c>
      <c r="F18" s="11" t="n">
        <v>22</v>
      </c>
      <c r="G18" s="11" t="n">
        <v>25</v>
      </c>
      <c r="H18" s="11" t="n">
        <v>28</v>
      </c>
      <c r="I18" s="11" t="n">
        <v>30</v>
      </c>
      <c r="J18" s="16" t="s">
        <v>139</v>
      </c>
    </row>
    <row r="19" customFormat="false" ht="15" hidden="false" customHeight="true" outlineLevel="0" collapsed="false">
      <c r="A19" s="14" t="s">
        <v>140</v>
      </c>
      <c r="B19" s="15" t="s">
        <v>141</v>
      </c>
      <c r="C19" s="15" t="s">
        <v>107</v>
      </c>
      <c r="D19" s="25" t="n">
        <v>10</v>
      </c>
      <c r="E19" s="11" t="n">
        <v>7.5</v>
      </c>
      <c r="F19" s="11" t="n">
        <v>7.5</v>
      </c>
      <c r="G19" s="11" t="n">
        <v>7.5</v>
      </c>
      <c r="H19" s="11" t="n">
        <v>7.5</v>
      </c>
      <c r="I19" s="11" t="n">
        <v>7.5</v>
      </c>
      <c r="J19" s="16" t="s">
        <v>142</v>
      </c>
    </row>
    <row r="20" customFormat="false" ht="15" hidden="false" customHeight="true" outlineLevel="0" collapsed="false">
      <c r="A20" s="14" t="s">
        <v>143</v>
      </c>
      <c r="B20" s="15" t="s">
        <v>144</v>
      </c>
      <c r="C20" s="15" t="s">
        <v>145</v>
      </c>
      <c r="D20" s="25" t="n">
        <v>36.5</v>
      </c>
      <c r="E20" s="11" t="n">
        <v>20</v>
      </c>
      <c r="F20" s="11" t="n">
        <v>22</v>
      </c>
      <c r="G20" s="11" t="n">
        <v>24</v>
      </c>
      <c r="H20" s="11" t="n">
        <v>26</v>
      </c>
      <c r="I20" s="11" t="n">
        <v>28</v>
      </c>
      <c r="J20" s="16" t="s">
        <v>146</v>
      </c>
    </row>
    <row r="21" customFormat="false" ht="15" hidden="false" customHeight="true" outlineLevel="0" collapsed="false">
      <c r="A21" s="14" t="s">
        <v>147</v>
      </c>
      <c r="B21" s="15" t="s">
        <v>148</v>
      </c>
      <c r="C21" s="15" t="s">
        <v>149</v>
      </c>
      <c r="D21" s="25" t="n">
        <v>3.4</v>
      </c>
      <c r="E21" s="11" t="n">
        <v>3.4</v>
      </c>
      <c r="F21" s="11" t="n">
        <v>3.4</v>
      </c>
      <c r="G21" s="11" t="n">
        <v>3.4</v>
      </c>
      <c r="H21" s="11" t="n">
        <v>3.4</v>
      </c>
      <c r="I21" s="11" t="n">
        <v>5</v>
      </c>
      <c r="J21" s="16" t="s">
        <v>150</v>
      </c>
    </row>
    <row r="22" customFormat="false" ht="15" hidden="false" customHeight="true" outlineLevel="0" collapsed="false">
      <c r="A22" s="14" t="s">
        <v>151</v>
      </c>
      <c r="B22" s="15" t="s">
        <v>152</v>
      </c>
      <c r="C22" s="15" t="s">
        <v>153</v>
      </c>
      <c r="D22" s="25" t="n">
        <v>2.5</v>
      </c>
      <c r="E22" s="11" t="n">
        <v>0.5</v>
      </c>
      <c r="F22" s="11" t="n">
        <v>2</v>
      </c>
      <c r="G22" s="11" t="n">
        <v>2.5</v>
      </c>
      <c r="H22" s="11" t="n">
        <v>2.5</v>
      </c>
      <c r="I22" s="11" t="n">
        <v>2.5</v>
      </c>
      <c r="J22" s="16" t="s">
        <v>154</v>
      </c>
    </row>
    <row r="23" customFormat="false" ht="15" hidden="false" customHeight="true" outlineLevel="0" collapsed="false">
      <c r="A23" s="14" t="s">
        <v>155</v>
      </c>
      <c r="B23" s="15" t="s">
        <v>69</v>
      </c>
      <c r="C23" s="15" t="s">
        <v>107</v>
      </c>
      <c r="D23" s="25" t="n">
        <v>25</v>
      </c>
      <c r="E23" s="11" t="n">
        <v>22</v>
      </c>
      <c r="F23" s="11" t="n">
        <v>22</v>
      </c>
      <c r="G23" s="11" t="n">
        <v>22</v>
      </c>
      <c r="H23" s="11" t="n">
        <v>22</v>
      </c>
      <c r="I23" s="11" t="n">
        <v>22</v>
      </c>
      <c r="J23" s="16" t="s">
        <v>156</v>
      </c>
    </row>
    <row r="24" customFormat="false" ht="15" hidden="false" customHeight="true" outlineLevel="0" collapsed="false">
      <c r="A24" s="17" t="s">
        <v>157</v>
      </c>
      <c r="E24" s="18" t="n">
        <f aca="false">SUM(E6:E23)</f>
        <v>282.9</v>
      </c>
      <c r="F24" s="18" t="n">
        <f aca="false">SUM(F6:F23)</f>
        <v>306.9</v>
      </c>
      <c r="G24" s="18" t="n">
        <f aca="false">SUM(G6:G23)</f>
        <v>340.4</v>
      </c>
      <c r="H24" s="18" t="n">
        <f aca="false">SUM(H6:H23)</f>
        <v>371.9</v>
      </c>
      <c r="I24" s="18" t="n">
        <f aca="false">SUM(I6:I23)</f>
        <v>393.5</v>
      </c>
    </row>
    <row r="26" customFormat="false" ht="15" hidden="false" customHeight="true" outlineLevel="0" collapsed="false">
      <c r="A26" s="19" t="s">
        <v>158</v>
      </c>
      <c r="B26" s="20"/>
      <c r="C26" s="20"/>
      <c r="D26" s="20"/>
      <c r="E26" s="20"/>
      <c r="F26" s="20"/>
      <c r="G26" s="20"/>
      <c r="H26" s="20"/>
      <c r="I26" s="20"/>
      <c r="J26" s="20"/>
    </row>
    <row r="27" customFormat="false" ht="15" hidden="false" customHeight="true" outlineLevel="0" collapsed="false">
      <c r="A27" s="6" t="s">
        <v>159</v>
      </c>
      <c r="B27" s="6" t="s">
        <v>4</v>
      </c>
      <c r="C27" s="6"/>
      <c r="D27" s="6" t="s">
        <v>5</v>
      </c>
      <c r="E27" s="6" t="s">
        <v>6</v>
      </c>
      <c r="F27" s="6" t="s">
        <v>7</v>
      </c>
      <c r="G27" s="6" t="s">
        <v>8</v>
      </c>
      <c r="H27" s="6" t="s">
        <v>9</v>
      </c>
      <c r="I27" s="6"/>
      <c r="J27" s="6" t="s">
        <v>160</v>
      </c>
    </row>
    <row r="28" customFormat="false" ht="15" hidden="false" customHeight="true" outlineLevel="0" collapsed="false">
      <c r="A28" s="14" t="s">
        <v>161</v>
      </c>
      <c r="B28" s="8" t="s">
        <v>162</v>
      </c>
      <c r="D28" s="27" t="n">
        <f aca="false">D24</f>
        <v>0</v>
      </c>
      <c r="E28" s="27" t="n">
        <f aca="false">E24</f>
        <v>282.9</v>
      </c>
      <c r="F28" s="27" t="n">
        <f aca="false">F24</f>
        <v>306.9</v>
      </c>
      <c r="G28" s="27" t="n">
        <f aca="false">G24</f>
        <v>340.4</v>
      </c>
      <c r="H28" s="27" t="n">
        <f aca="false">H24</f>
        <v>371.9</v>
      </c>
    </row>
    <row r="29" customFormat="false" ht="15" hidden="false" customHeight="true" outlineLevel="0" collapsed="false">
      <c r="A29" s="14" t="s">
        <v>163</v>
      </c>
      <c r="B29" s="8" t="s">
        <v>162</v>
      </c>
      <c r="D29" s="11" t="n">
        <v>285</v>
      </c>
      <c r="E29" s="11" t="n">
        <v>295</v>
      </c>
      <c r="F29" s="11" t="n">
        <v>310</v>
      </c>
      <c r="G29" s="11" t="n">
        <v>325</v>
      </c>
      <c r="H29" s="11" t="n">
        <v>340</v>
      </c>
      <c r="J29" s="16" t="s">
        <v>164</v>
      </c>
    </row>
    <row r="30" customFormat="false" ht="15" hidden="false" customHeight="true" outlineLevel="0" collapsed="false">
      <c r="A30" s="14" t="s">
        <v>165</v>
      </c>
      <c r="B30" s="8" t="s">
        <v>162</v>
      </c>
      <c r="D30" s="28" t="n">
        <f aca="false">D28-D29</f>
        <v>-285</v>
      </c>
      <c r="E30" s="28" t="n">
        <f aca="false">E28-E29</f>
        <v>-12.1</v>
      </c>
      <c r="F30" s="28" t="n">
        <f aca="false">F28-F29</f>
        <v>-3.10000000000002</v>
      </c>
      <c r="G30" s="28" t="n">
        <f aca="false">G28-G29</f>
        <v>15.4</v>
      </c>
      <c r="H30" s="28" t="n">
        <f aca="false">H28-H29</f>
        <v>31.9</v>
      </c>
    </row>
    <row r="31" customFormat="false" ht="15" hidden="false" customHeight="true" outlineLevel="0" collapsed="false">
      <c r="A31" s="14" t="s">
        <v>166</v>
      </c>
      <c r="B31" s="8" t="s">
        <v>167</v>
      </c>
      <c r="D31" s="29" t="n">
        <v>1.379</v>
      </c>
      <c r="E31" s="29" t="n">
        <v>1.379</v>
      </c>
      <c r="F31" s="29" t="n">
        <v>1.379</v>
      </c>
      <c r="G31" s="29" t="n">
        <v>1.379</v>
      </c>
      <c r="H31" s="29" t="n">
        <v>1.379</v>
      </c>
      <c r="J31" s="3" t="s">
        <v>168</v>
      </c>
    </row>
    <row r="32" customFormat="false" ht="15" hidden="false" customHeight="true" outlineLevel="0" collapsed="false">
      <c r="A32" s="14" t="s">
        <v>169</v>
      </c>
      <c r="B32" s="8" t="s">
        <v>52</v>
      </c>
      <c r="D32" s="28" t="n">
        <f aca="false">D30*D31</f>
        <v>-393.015</v>
      </c>
      <c r="E32" s="28" t="n">
        <f aca="false">E30*E31</f>
        <v>-16.6859</v>
      </c>
      <c r="F32" s="28" t="n">
        <f aca="false">F30*F31</f>
        <v>-4.27490000000003</v>
      </c>
      <c r="G32" s="28" t="n">
        <f aca="false">G30*G31</f>
        <v>21.2366</v>
      </c>
      <c r="H32" s="28" t="n">
        <f aca="false">H30*H31</f>
        <v>43.9901</v>
      </c>
    </row>
    <row r="33" customFormat="false" ht="15" hidden="false" customHeight="true" outlineLevel="0" collapsed="false">
      <c r="A33" s="14" t="s">
        <v>170</v>
      </c>
      <c r="B33" s="8" t="s">
        <v>52</v>
      </c>
      <c r="D33" s="11" t="n">
        <v>220</v>
      </c>
      <c r="E33" s="11" t="n">
        <v>230</v>
      </c>
      <c r="F33" s="11" t="n">
        <v>235</v>
      </c>
      <c r="G33" s="11" t="n">
        <v>240</v>
      </c>
      <c r="H33" s="11" t="n">
        <v>240</v>
      </c>
      <c r="J33" s="16" t="s">
        <v>171</v>
      </c>
    </row>
    <row r="34" customFormat="false" ht="15" hidden="false" customHeight="true" outlineLevel="0" collapsed="false">
      <c r="A34" s="14" t="s">
        <v>172</v>
      </c>
      <c r="B34" s="8" t="s">
        <v>32</v>
      </c>
      <c r="D34" s="30" t="n">
        <v>85</v>
      </c>
      <c r="E34" s="30" t="n">
        <v>85</v>
      </c>
      <c r="F34" s="30" t="n">
        <v>85</v>
      </c>
      <c r="G34" s="30" t="n">
        <v>85</v>
      </c>
      <c r="H34" s="30" t="n">
        <v>85</v>
      </c>
      <c r="J34" s="16" t="s">
        <v>173</v>
      </c>
    </row>
    <row r="35" customFormat="false" ht="15" hidden="false" customHeight="true" outlineLevel="0" collapsed="false">
      <c r="A35" s="14" t="s">
        <v>174</v>
      </c>
      <c r="B35" s="8" t="s">
        <v>52</v>
      </c>
      <c r="D35" s="28" t="n">
        <f aca="false">MIN(D32,D33*D34)</f>
        <v>-393.015</v>
      </c>
      <c r="E35" s="28" t="n">
        <f aca="false">MIN(E32,E33*E34)</f>
        <v>-16.6859</v>
      </c>
      <c r="F35" s="28" t="n">
        <f aca="false">MIN(F32,F33*F34)</f>
        <v>-4.27490000000003</v>
      </c>
      <c r="G35" s="28" t="n">
        <f aca="false">MIN(G32,G33*G34)</f>
        <v>21.2366</v>
      </c>
      <c r="H35" s="28" t="n">
        <f aca="false">MIN(H32,H33*H34)</f>
        <v>43.9901</v>
      </c>
    </row>
    <row r="36" customFormat="false" ht="15" hidden="false" customHeight="true" outlineLevel="0" collapsed="false">
      <c r="A36" s="14" t="s">
        <v>175</v>
      </c>
      <c r="B36" s="8" t="s">
        <v>52</v>
      </c>
      <c r="D36" s="24" t="n">
        <f aca="false">D35</f>
        <v>-393.015</v>
      </c>
      <c r="E36" s="24" t="n">
        <f aca="false">E35</f>
        <v>-16.6859</v>
      </c>
      <c r="F36" s="24" t="n">
        <f aca="false">F35</f>
        <v>-4.27490000000003</v>
      </c>
      <c r="G36" s="24" t="n">
        <f aca="false">G35</f>
        <v>21.2366</v>
      </c>
      <c r="H36" s="24" t="n">
        <f aca="false">H35</f>
        <v>43.9901</v>
      </c>
      <c r="J36" s="3" t="s">
        <v>176</v>
      </c>
    </row>
    <row r="39" customFormat="false" ht="15" hidden="false" customHeight="true" outlineLevel="0" collapsed="false">
      <c r="A39" s="4" t="s">
        <v>177</v>
      </c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true" outlineLevel="0" collapsed="false">
      <c r="A40" s="6" t="s">
        <v>178</v>
      </c>
      <c r="B40" s="6" t="s">
        <v>102</v>
      </c>
      <c r="C40" s="6" t="s">
        <v>179</v>
      </c>
      <c r="D40" s="6" t="s">
        <v>85</v>
      </c>
      <c r="E40" s="6" t="s">
        <v>180</v>
      </c>
      <c r="F40" s="6" t="s">
        <v>181</v>
      </c>
      <c r="G40" s="6" t="s">
        <v>182</v>
      </c>
      <c r="H40" s="6" t="s">
        <v>183</v>
      </c>
      <c r="I40" s="6" t="s">
        <v>184</v>
      </c>
      <c r="J40" s="6" t="s">
        <v>49</v>
      </c>
    </row>
    <row r="41" customFormat="false" ht="15" hidden="false" customHeight="true" outlineLevel="0" collapsed="false">
      <c r="A41" s="14" t="s">
        <v>185</v>
      </c>
      <c r="B41" s="15" t="s">
        <v>186</v>
      </c>
      <c r="C41" s="15" t="s">
        <v>187</v>
      </c>
      <c r="D41" s="25" t="n">
        <v>16</v>
      </c>
      <c r="E41" s="30" t="n">
        <v>0.75</v>
      </c>
      <c r="F41" s="30" t="n">
        <v>0.78</v>
      </c>
      <c r="G41" s="30" t="n">
        <v>0.8</v>
      </c>
      <c r="H41" s="30" t="n">
        <v>0.8</v>
      </c>
      <c r="I41" s="30" t="n">
        <v>0.8</v>
      </c>
    </row>
    <row r="42" customFormat="false" ht="15" hidden="false" customHeight="true" outlineLevel="0" collapsed="false">
      <c r="A42" s="14" t="s">
        <v>188</v>
      </c>
      <c r="B42" s="15" t="s">
        <v>189</v>
      </c>
      <c r="C42" s="15" t="s">
        <v>187</v>
      </c>
      <c r="D42" s="25" t="n">
        <v>19.5</v>
      </c>
      <c r="E42" s="30" t="n">
        <v>0.65</v>
      </c>
      <c r="F42" s="30" t="n">
        <v>0.68</v>
      </c>
      <c r="G42" s="30" t="n">
        <v>0.7</v>
      </c>
      <c r="H42" s="30" t="n">
        <v>0.72</v>
      </c>
      <c r="I42" s="30" t="n">
        <v>0.72</v>
      </c>
    </row>
    <row r="43" customFormat="false" ht="15" hidden="false" customHeight="true" outlineLevel="0" collapsed="false">
      <c r="A43" s="14" t="s">
        <v>190</v>
      </c>
      <c r="B43" s="15" t="s">
        <v>191</v>
      </c>
      <c r="C43" s="15" t="s">
        <v>187</v>
      </c>
      <c r="D43" s="25" t="n">
        <v>13</v>
      </c>
      <c r="E43" s="30" t="n">
        <v>0.7</v>
      </c>
      <c r="F43" s="30" t="n">
        <v>0.72</v>
      </c>
      <c r="G43" s="30" t="n">
        <v>0.75</v>
      </c>
      <c r="H43" s="30" t="n">
        <v>0.75</v>
      </c>
      <c r="I43" s="30" t="n">
        <v>0.75</v>
      </c>
    </row>
    <row r="44" customFormat="false" ht="15" hidden="false" customHeight="true" outlineLevel="0" collapsed="false">
      <c r="A44" s="14" t="s">
        <v>192</v>
      </c>
      <c r="B44" s="15" t="s">
        <v>193</v>
      </c>
      <c r="C44" s="15" t="s">
        <v>187</v>
      </c>
      <c r="D44" s="25" t="n">
        <v>9</v>
      </c>
      <c r="E44" s="30" t="n">
        <v>0.6</v>
      </c>
      <c r="F44" s="30" t="n">
        <v>0.65</v>
      </c>
      <c r="G44" s="30" t="n">
        <v>0.68</v>
      </c>
      <c r="H44" s="30" t="n">
        <v>0.7</v>
      </c>
      <c r="I44" s="30" t="n">
        <v>0.7</v>
      </c>
    </row>
    <row r="45" customFormat="false" ht="15" hidden="false" customHeight="true" outlineLevel="0" collapsed="false">
      <c r="A45" s="14" t="s">
        <v>194</v>
      </c>
      <c r="B45" s="15" t="s">
        <v>191</v>
      </c>
      <c r="C45" s="15" t="s">
        <v>187</v>
      </c>
      <c r="D45" s="25" t="n">
        <v>10</v>
      </c>
      <c r="E45" s="30" t="n">
        <v>0.55</v>
      </c>
      <c r="F45" s="30" t="n">
        <v>0.58</v>
      </c>
      <c r="G45" s="30" t="n">
        <v>0.6</v>
      </c>
      <c r="H45" s="30" t="n">
        <v>0.62</v>
      </c>
      <c r="I45" s="30" t="n">
        <v>0.62</v>
      </c>
    </row>
    <row r="46" customFormat="false" ht="15" hidden="false" customHeight="true" outlineLevel="0" collapsed="false">
      <c r="A46" s="14" t="s">
        <v>195</v>
      </c>
      <c r="B46" s="15" t="s">
        <v>196</v>
      </c>
      <c r="C46" s="15" t="s">
        <v>187</v>
      </c>
      <c r="D46" s="25" t="n">
        <v>60</v>
      </c>
      <c r="E46" s="30" t="n">
        <v>0.4</v>
      </c>
      <c r="F46" s="30" t="n">
        <v>0.42</v>
      </c>
      <c r="G46" s="30" t="n">
        <v>0.45</v>
      </c>
      <c r="H46" s="30" t="n">
        <v>0.48</v>
      </c>
      <c r="I46" s="30" t="n">
        <v>0.5</v>
      </c>
    </row>
    <row r="47" customFormat="false" ht="15" hidden="false" customHeight="true" outlineLevel="0" collapsed="false">
      <c r="A47" s="14" t="s">
        <v>197</v>
      </c>
      <c r="B47" s="15" t="s">
        <v>198</v>
      </c>
      <c r="C47" s="15" t="s">
        <v>187</v>
      </c>
      <c r="D47" s="25" t="n">
        <v>7.6</v>
      </c>
      <c r="E47" s="30" t="n">
        <v>0.55</v>
      </c>
      <c r="F47" s="30" t="n">
        <v>0.58</v>
      </c>
      <c r="G47" s="30" t="n">
        <v>0.6</v>
      </c>
      <c r="H47" s="30" t="n">
        <v>0.62</v>
      </c>
      <c r="I47" s="30" t="n">
        <v>0.65</v>
      </c>
    </row>
    <row r="48" customFormat="false" ht="15" hidden="false" customHeight="true" outlineLevel="0" collapsed="false">
      <c r="A48" s="14" t="s">
        <v>199</v>
      </c>
      <c r="B48" s="15" t="s">
        <v>200</v>
      </c>
      <c r="C48" s="15" t="s">
        <v>201</v>
      </c>
      <c r="D48" s="25" t="n">
        <v>28</v>
      </c>
      <c r="E48" s="30" t="n">
        <v>0.5</v>
      </c>
      <c r="F48" s="30" t="n">
        <v>0.55</v>
      </c>
      <c r="G48" s="30" t="n">
        <v>0.58</v>
      </c>
      <c r="H48" s="30" t="n">
        <v>0.6</v>
      </c>
      <c r="I48" s="30" t="n">
        <v>0.62</v>
      </c>
    </row>
    <row r="49" customFormat="false" ht="15" hidden="false" customHeight="true" outlineLevel="0" collapsed="false">
      <c r="A49" s="14" t="s">
        <v>202</v>
      </c>
      <c r="B49" s="15" t="s">
        <v>203</v>
      </c>
      <c r="C49" s="15" t="s">
        <v>204</v>
      </c>
      <c r="D49" s="25" t="n">
        <v>13.5</v>
      </c>
      <c r="E49" s="30" t="n">
        <v>0.6</v>
      </c>
      <c r="F49" s="30" t="n">
        <v>0.7</v>
      </c>
      <c r="G49" s="30" t="n">
        <v>0.75</v>
      </c>
      <c r="H49" s="30" t="n">
        <v>0.8</v>
      </c>
      <c r="I49" s="30" t="n">
        <v>0.85</v>
      </c>
    </row>
    <row r="50" customFormat="false" ht="15" hidden="false" customHeight="true" outlineLevel="0" collapsed="false">
      <c r="A50" s="14" t="s">
        <v>205</v>
      </c>
      <c r="B50" s="15" t="s">
        <v>203</v>
      </c>
      <c r="C50" s="15" t="s">
        <v>204</v>
      </c>
      <c r="D50" s="25" t="n">
        <v>5</v>
      </c>
      <c r="E50" s="30" t="n">
        <v>0.5</v>
      </c>
      <c r="F50" s="30" t="n">
        <v>0.6</v>
      </c>
      <c r="G50" s="30" t="n">
        <v>0.7</v>
      </c>
      <c r="H50" s="30" t="n">
        <v>0.75</v>
      </c>
      <c r="I50" s="30" t="n">
        <v>0.8</v>
      </c>
    </row>
    <row r="51" customFormat="false" ht="15" hidden="false" customHeight="true" outlineLevel="0" collapsed="false">
      <c r="A51" s="14" t="s">
        <v>206</v>
      </c>
      <c r="B51" s="15" t="s">
        <v>203</v>
      </c>
      <c r="C51" s="15" t="s">
        <v>207</v>
      </c>
      <c r="D51" s="25" t="n">
        <v>5.3</v>
      </c>
      <c r="E51" s="30" t="n">
        <v>0.4</v>
      </c>
      <c r="F51" s="30" t="n">
        <v>0.5</v>
      </c>
      <c r="G51" s="30" t="n">
        <v>0.55</v>
      </c>
      <c r="H51" s="30" t="n">
        <v>0.6</v>
      </c>
      <c r="I51" s="30" t="n">
        <v>0.6</v>
      </c>
    </row>
    <row r="52" customFormat="false" ht="15" hidden="false" customHeight="true" outlineLevel="0" collapsed="false">
      <c r="A52" s="14" t="s">
        <v>208</v>
      </c>
      <c r="B52" s="15" t="s">
        <v>186</v>
      </c>
      <c r="C52" s="15" t="s">
        <v>207</v>
      </c>
      <c r="D52" s="25" t="n">
        <v>8</v>
      </c>
      <c r="E52" s="30" t="n">
        <v>0.55</v>
      </c>
      <c r="F52" s="30" t="n">
        <v>0.6</v>
      </c>
      <c r="G52" s="30" t="n">
        <v>0.65</v>
      </c>
      <c r="H52" s="30" t="n">
        <v>0.68</v>
      </c>
      <c r="I52" s="30" t="n">
        <v>0.7</v>
      </c>
    </row>
    <row r="53" customFormat="false" ht="15" hidden="false" customHeight="true" outlineLevel="0" collapsed="false">
      <c r="A53" s="14" t="s">
        <v>209</v>
      </c>
      <c r="B53" s="15" t="s">
        <v>210</v>
      </c>
      <c r="C53" s="15" t="s">
        <v>187</v>
      </c>
      <c r="D53" s="25" t="n">
        <v>8.3</v>
      </c>
      <c r="E53" s="30" t="n">
        <v>0.8</v>
      </c>
      <c r="F53" s="30" t="n">
        <v>0.82</v>
      </c>
      <c r="G53" s="30" t="n">
        <v>0.85</v>
      </c>
      <c r="H53" s="30" t="n">
        <v>0.85</v>
      </c>
      <c r="I53" s="30" t="n">
        <v>0.85</v>
      </c>
    </row>
    <row r="54" customFormat="false" ht="15" hidden="false" customHeight="true" outlineLevel="0" collapsed="false">
      <c r="A54" s="14" t="s">
        <v>211</v>
      </c>
      <c r="B54" s="15" t="s">
        <v>212</v>
      </c>
      <c r="C54" s="15" t="s">
        <v>207</v>
      </c>
      <c r="D54" s="25" t="n">
        <v>5.5</v>
      </c>
      <c r="E54" s="30" t="n">
        <v>0.3</v>
      </c>
      <c r="F54" s="30" t="n">
        <v>0.5</v>
      </c>
      <c r="G54" s="30" t="n">
        <v>0.6</v>
      </c>
      <c r="H54" s="30" t="n">
        <v>0.65</v>
      </c>
      <c r="I54" s="30" t="n">
        <v>0.7</v>
      </c>
    </row>
    <row r="55" customFormat="false" ht="15" hidden="false" customHeight="true" outlineLevel="0" collapsed="false">
      <c r="A55" s="14" t="s">
        <v>213</v>
      </c>
      <c r="B55" s="15" t="s">
        <v>214</v>
      </c>
      <c r="C55" s="15" t="s">
        <v>207</v>
      </c>
      <c r="D55" s="25" t="n">
        <v>4</v>
      </c>
      <c r="E55" s="30" t="n">
        <v>0.4</v>
      </c>
      <c r="F55" s="30" t="n">
        <v>0.5</v>
      </c>
      <c r="G55" s="30" t="n">
        <v>0.55</v>
      </c>
      <c r="H55" s="30" t="n">
        <v>0.6</v>
      </c>
      <c r="I55" s="30" t="n">
        <v>0.6</v>
      </c>
    </row>
    <row r="56" customFormat="false" ht="15" hidden="false" customHeight="true" outlineLevel="0" collapsed="false">
      <c r="A56" s="14" t="s">
        <v>215</v>
      </c>
      <c r="B56" s="15" t="s">
        <v>216</v>
      </c>
      <c r="C56" s="15" t="s">
        <v>207</v>
      </c>
      <c r="D56" s="25" t="n">
        <v>4</v>
      </c>
      <c r="E56" s="30" t="n">
        <v>0.7</v>
      </c>
      <c r="F56" s="30" t="n">
        <v>0.72</v>
      </c>
      <c r="G56" s="30" t="n">
        <v>0.75</v>
      </c>
      <c r="H56" s="30" t="n">
        <v>0.75</v>
      </c>
      <c r="I56" s="30" t="n">
        <v>0.75</v>
      </c>
    </row>
    <row r="57" customFormat="false" ht="15" hidden="false" customHeight="true" outlineLevel="0" collapsed="false">
      <c r="A57" s="14" t="s">
        <v>217</v>
      </c>
      <c r="B57" s="15" t="s">
        <v>218</v>
      </c>
      <c r="C57" s="15" t="s">
        <v>207</v>
      </c>
      <c r="D57" s="25" t="n">
        <v>2.9</v>
      </c>
      <c r="E57" s="30" t="n">
        <v>0.8</v>
      </c>
      <c r="F57" s="30" t="n">
        <v>0.82</v>
      </c>
      <c r="G57" s="30" t="n">
        <v>0.85</v>
      </c>
      <c r="H57" s="30" t="n">
        <v>0.85</v>
      </c>
      <c r="I57" s="30" t="n">
        <v>0.85</v>
      </c>
    </row>
    <row r="58" customFormat="false" ht="15" hidden="false" customHeight="true" outlineLevel="0" collapsed="false">
      <c r="A58" s="14" t="s">
        <v>219</v>
      </c>
      <c r="B58" s="15" t="s">
        <v>69</v>
      </c>
      <c r="C58" s="15" t="s">
        <v>69</v>
      </c>
      <c r="D58" s="25" t="n">
        <v>10</v>
      </c>
      <c r="E58" s="30" t="n">
        <v>0.2</v>
      </c>
      <c r="F58" s="30" t="n">
        <v>0.3</v>
      </c>
      <c r="G58" s="30" t="n">
        <v>0.4</v>
      </c>
      <c r="H58" s="30" t="n">
        <v>0.5</v>
      </c>
      <c r="I58" s="30" t="n">
        <v>0.55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8" min="4" style="1" width="14"/>
    <col collapsed="false" customWidth="true" hidden="false" outlineLevel="0" max="9" min="9" style="1" width="30"/>
  </cols>
  <sheetData>
    <row r="1" customFormat="false" ht="17.25" hidden="false" customHeight="true" outlineLevel="0" collapsed="false">
      <c r="A1" s="2" t="s">
        <v>220</v>
      </c>
    </row>
    <row r="2" customFormat="false" ht="15" hidden="false" customHeight="true" outlineLevel="0" collapsed="false">
      <c r="A2" s="3" t="s">
        <v>221</v>
      </c>
    </row>
    <row r="4" customFormat="false" ht="15" hidden="false" customHeight="true" outlineLevel="0" collapsed="false">
      <c r="A4" s="4" t="s">
        <v>222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true" outlineLevel="0" collapsed="false">
      <c r="A5" s="6" t="s">
        <v>223</v>
      </c>
      <c r="B5" s="6" t="s">
        <v>224</v>
      </c>
      <c r="C5" s="6" t="s">
        <v>85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225</v>
      </c>
    </row>
    <row r="6" customFormat="false" ht="15" hidden="false" customHeight="true" outlineLevel="0" collapsed="false">
      <c r="A6" s="14" t="s">
        <v>226</v>
      </c>
      <c r="B6" s="15" t="s">
        <v>227</v>
      </c>
      <c r="C6" s="25" t="n">
        <v>15.75</v>
      </c>
      <c r="D6" s="11" t="n">
        <v>12</v>
      </c>
      <c r="E6" s="11" t="n">
        <v>10</v>
      </c>
      <c r="F6" s="11" t="n">
        <v>8</v>
      </c>
      <c r="G6" s="11" t="n">
        <v>6</v>
      </c>
      <c r="H6" s="11" t="n">
        <v>5</v>
      </c>
      <c r="I6" s="16" t="s">
        <v>228</v>
      </c>
    </row>
    <row r="7" customFormat="false" ht="15" hidden="false" customHeight="true" outlineLevel="0" collapsed="false">
      <c r="A7" s="14" t="s">
        <v>229</v>
      </c>
      <c r="B7" s="15" t="s">
        <v>230</v>
      </c>
      <c r="C7" s="25" t="n">
        <v>15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6" t="s">
        <v>231</v>
      </c>
    </row>
    <row r="8" customFormat="false" ht="15" hidden="false" customHeight="true" outlineLevel="0" collapsed="false">
      <c r="A8" s="14" t="s">
        <v>232</v>
      </c>
      <c r="B8" s="15" t="s">
        <v>69</v>
      </c>
      <c r="C8" s="25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6" t="s">
        <v>233</v>
      </c>
    </row>
    <row r="9" customFormat="false" ht="15" hidden="false" customHeight="true" outlineLevel="0" collapsed="false">
      <c r="A9" s="14" t="s">
        <v>234</v>
      </c>
      <c r="B9" s="15" t="s">
        <v>235</v>
      </c>
      <c r="C9" s="25" t="n">
        <v>33.5</v>
      </c>
      <c r="D9" s="11" t="n">
        <v>22</v>
      </c>
      <c r="E9" s="11" t="n">
        <v>21</v>
      </c>
      <c r="F9" s="11" t="n">
        <v>20</v>
      </c>
      <c r="G9" s="11" t="n">
        <v>19</v>
      </c>
      <c r="H9" s="11" t="n">
        <v>18</v>
      </c>
      <c r="I9" s="16" t="s">
        <v>236</v>
      </c>
    </row>
    <row r="10" customFormat="false" ht="15" hidden="false" customHeight="true" outlineLevel="0" collapsed="false">
      <c r="A10" s="14" t="s">
        <v>237</v>
      </c>
      <c r="B10" s="15" t="s">
        <v>238</v>
      </c>
      <c r="C10" s="25" t="n">
        <v>10.5</v>
      </c>
      <c r="D10" s="11" t="n">
        <v>8</v>
      </c>
      <c r="E10" s="11" t="n">
        <v>8</v>
      </c>
      <c r="F10" s="11" t="n">
        <v>8</v>
      </c>
      <c r="G10" s="11" t="n">
        <v>7.5</v>
      </c>
      <c r="H10" s="11" t="n">
        <v>7.5</v>
      </c>
      <c r="I10" s="16" t="s">
        <v>239</v>
      </c>
    </row>
    <row r="11" customFormat="false" ht="15" hidden="false" customHeight="true" outlineLevel="0" collapsed="false">
      <c r="A11" s="14" t="s">
        <v>240</v>
      </c>
      <c r="B11" s="15" t="s">
        <v>241</v>
      </c>
      <c r="C11" s="25" t="n">
        <v>11</v>
      </c>
      <c r="D11" s="11" t="n">
        <v>3</v>
      </c>
      <c r="E11" s="11" t="n">
        <v>3</v>
      </c>
      <c r="F11" s="11" t="n">
        <v>3</v>
      </c>
      <c r="G11" s="11" t="n">
        <v>3</v>
      </c>
      <c r="H11" s="11" t="n">
        <v>3</v>
      </c>
      <c r="I11" s="16" t="s">
        <v>242</v>
      </c>
    </row>
    <row r="12" customFormat="false" ht="15" hidden="false" customHeight="true" outlineLevel="0" collapsed="false">
      <c r="A12" s="14" t="s">
        <v>243</v>
      </c>
      <c r="B12" s="15" t="s">
        <v>244</v>
      </c>
      <c r="C12" s="25" t="n">
        <v>10</v>
      </c>
      <c r="D12" s="11" t="n">
        <v>10</v>
      </c>
      <c r="E12" s="11" t="n">
        <v>10</v>
      </c>
      <c r="F12" s="11" t="n">
        <v>10</v>
      </c>
      <c r="G12" s="11" t="n">
        <v>10</v>
      </c>
      <c r="H12" s="11" t="n">
        <v>12</v>
      </c>
      <c r="I12" s="16" t="s">
        <v>245</v>
      </c>
    </row>
    <row r="13" customFormat="false" ht="15" hidden="false" customHeight="true" outlineLevel="0" collapsed="false">
      <c r="A13" s="31" t="s">
        <v>246</v>
      </c>
      <c r="B13" s="32"/>
      <c r="C13" s="32"/>
      <c r="D13" s="33" t="n">
        <f aca="false">SUM(D6:D12)</f>
        <v>55</v>
      </c>
      <c r="E13" s="33" t="n">
        <f aca="false">SUM(E6:E12)</f>
        <v>52</v>
      </c>
      <c r="F13" s="33" t="n">
        <f aca="false">SUM(F6:F12)</f>
        <v>49</v>
      </c>
      <c r="G13" s="33" t="n">
        <f aca="false">SUM(G6:G12)</f>
        <v>45.5</v>
      </c>
      <c r="H13" s="33" t="n">
        <f aca="false">SUM(H6:H12)</f>
        <v>45.5</v>
      </c>
      <c r="I13" s="32"/>
    </row>
    <row r="15" customFormat="false" ht="15" hidden="false" customHeight="true" outlineLevel="0" collapsed="false">
      <c r="A15" s="4" t="s">
        <v>247</v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true" outlineLevel="0" collapsed="false">
      <c r="A16" s="6" t="s">
        <v>248</v>
      </c>
      <c r="B16" s="6" t="s">
        <v>102</v>
      </c>
      <c r="C16" s="6"/>
      <c r="D16" s="6" t="s">
        <v>5</v>
      </c>
      <c r="E16" s="6" t="s">
        <v>6</v>
      </c>
      <c r="F16" s="6" t="s">
        <v>7</v>
      </c>
      <c r="G16" s="6" t="s">
        <v>8</v>
      </c>
      <c r="H16" s="6" t="s">
        <v>9</v>
      </c>
      <c r="I16" s="6" t="s">
        <v>49</v>
      </c>
    </row>
    <row r="17" customFormat="false" ht="15" hidden="false" customHeight="true" outlineLevel="0" collapsed="false">
      <c r="A17" s="14" t="s">
        <v>249</v>
      </c>
      <c r="B17" s="15" t="s">
        <v>186</v>
      </c>
      <c r="D17" s="11" t="n">
        <v>4.5</v>
      </c>
      <c r="E17" s="11" t="n">
        <v>3.8</v>
      </c>
      <c r="F17" s="11" t="n">
        <v>3.2</v>
      </c>
      <c r="G17" s="11" t="n">
        <v>2.7</v>
      </c>
      <c r="H17" s="11" t="n">
        <v>2.3</v>
      </c>
      <c r="I17" s="16" t="s">
        <v>250</v>
      </c>
    </row>
    <row r="18" customFormat="false" ht="15" hidden="false" customHeight="true" outlineLevel="0" collapsed="false">
      <c r="A18" s="14" t="s">
        <v>251</v>
      </c>
      <c r="B18" s="15" t="s">
        <v>189</v>
      </c>
      <c r="D18" s="11" t="n">
        <v>35</v>
      </c>
      <c r="E18" s="11" t="n">
        <v>33</v>
      </c>
      <c r="F18" s="11" t="n">
        <v>31</v>
      </c>
      <c r="G18" s="11" t="n">
        <v>29</v>
      </c>
      <c r="H18" s="11" t="n">
        <v>27</v>
      </c>
      <c r="I18" s="16" t="s">
        <v>252</v>
      </c>
    </row>
    <row r="19" customFormat="false" ht="15" hidden="false" customHeight="true" outlineLevel="0" collapsed="false">
      <c r="A19" s="14" t="s">
        <v>253</v>
      </c>
      <c r="B19" s="15" t="s">
        <v>254</v>
      </c>
      <c r="D19" s="11" t="n">
        <v>5.5</v>
      </c>
      <c r="E19" s="11" t="n">
        <v>5.5</v>
      </c>
      <c r="F19" s="11" t="n">
        <v>5.5</v>
      </c>
      <c r="G19" s="11" t="n">
        <v>8</v>
      </c>
      <c r="H19" s="11" t="n">
        <v>10</v>
      </c>
      <c r="I19" s="16" t="s">
        <v>255</v>
      </c>
    </row>
    <row r="20" customFormat="false" ht="15" hidden="false" customHeight="true" outlineLevel="0" collapsed="false">
      <c r="A20" s="14" t="s">
        <v>256</v>
      </c>
      <c r="B20" s="15" t="s">
        <v>69</v>
      </c>
      <c r="D20" s="11" t="n">
        <v>3</v>
      </c>
      <c r="E20" s="11" t="n">
        <v>2.8</v>
      </c>
      <c r="F20" s="11" t="n">
        <v>2.6</v>
      </c>
      <c r="G20" s="11" t="n">
        <v>2.4</v>
      </c>
      <c r="H20" s="11" t="n">
        <v>2.2</v>
      </c>
      <c r="I20" s="16" t="s">
        <v>257</v>
      </c>
    </row>
    <row r="21" customFormat="false" ht="15" hidden="false" customHeight="true" outlineLevel="0" collapsed="false">
      <c r="A21" s="14" t="s">
        <v>258</v>
      </c>
      <c r="B21" s="15" t="s">
        <v>259</v>
      </c>
      <c r="D21" s="11" t="n">
        <v>3.5</v>
      </c>
      <c r="E21" s="11" t="n">
        <v>4.5</v>
      </c>
      <c r="F21" s="11" t="n">
        <v>5.5</v>
      </c>
      <c r="G21" s="11" t="n">
        <v>7</v>
      </c>
      <c r="H21" s="11" t="n">
        <v>9</v>
      </c>
      <c r="I21" s="16" t="s">
        <v>260</v>
      </c>
    </row>
    <row r="22" customFormat="false" ht="15" hidden="false" customHeight="true" outlineLevel="0" collapsed="false">
      <c r="A22" s="31" t="s">
        <v>261</v>
      </c>
      <c r="B22" s="32"/>
      <c r="C22" s="32"/>
      <c r="D22" s="33" t="n">
        <f aca="false">SUM(D17:D21)</f>
        <v>51.5</v>
      </c>
      <c r="E22" s="33" t="n">
        <f aca="false">SUM(E17:E21)</f>
        <v>49.6</v>
      </c>
      <c r="F22" s="33" t="n">
        <f aca="false">SUM(F17:F21)</f>
        <v>47.8</v>
      </c>
      <c r="G22" s="33" t="n">
        <f aca="false">SUM(G17:G21)</f>
        <v>49.1</v>
      </c>
      <c r="H22" s="33" t="n">
        <f aca="false">SUM(H17:H21)</f>
        <v>50.5</v>
      </c>
      <c r="I22" s="32"/>
    </row>
    <row r="24" customFormat="false" ht="15" hidden="false" customHeight="true" outlineLevel="0" collapsed="false">
      <c r="A24" s="4" t="s">
        <v>262</v>
      </c>
      <c r="B24" s="5"/>
      <c r="C24" s="5"/>
      <c r="D24" s="5"/>
      <c r="E24" s="5"/>
      <c r="F24" s="5"/>
      <c r="G24" s="5"/>
      <c r="H24" s="5"/>
      <c r="I24" s="5"/>
    </row>
    <row r="25" customFormat="false" ht="15" hidden="false" customHeight="true" outlineLevel="0" collapsed="false">
      <c r="A25" s="6" t="s">
        <v>263</v>
      </c>
      <c r="B25" s="6" t="s">
        <v>4</v>
      </c>
      <c r="C25" s="6"/>
      <c r="D25" s="6" t="s">
        <v>5</v>
      </c>
      <c r="E25" s="6" t="s">
        <v>6</v>
      </c>
      <c r="F25" s="6" t="s">
        <v>7</v>
      </c>
      <c r="G25" s="6" t="s">
        <v>8</v>
      </c>
      <c r="H25" s="6" t="s">
        <v>9</v>
      </c>
      <c r="I25" s="6" t="s">
        <v>49</v>
      </c>
    </row>
    <row r="26" customFormat="false" ht="15" hidden="false" customHeight="true" outlineLevel="0" collapsed="false">
      <c r="A26" s="14" t="s">
        <v>264</v>
      </c>
      <c r="B26" s="8" t="s">
        <v>35</v>
      </c>
      <c r="D26" s="11" t="n">
        <v>110</v>
      </c>
      <c r="E26" s="11" t="n">
        <v>112</v>
      </c>
      <c r="F26" s="11" t="n">
        <v>114</v>
      </c>
      <c r="G26" s="11" t="n">
        <v>115</v>
      </c>
      <c r="H26" s="11" t="n">
        <v>115</v>
      </c>
      <c r="I26" s="16" t="s">
        <v>36</v>
      </c>
    </row>
    <row r="27" customFormat="false" ht="15" hidden="false" customHeight="true" outlineLevel="0" collapsed="false">
      <c r="A27" s="14" t="s">
        <v>265</v>
      </c>
      <c r="B27" s="8" t="s">
        <v>35</v>
      </c>
      <c r="D27" s="11" t="n">
        <v>75</v>
      </c>
      <c r="E27" s="11" t="n">
        <v>70</v>
      </c>
      <c r="F27" s="11" t="n">
        <v>68</v>
      </c>
      <c r="G27" s="11" t="n">
        <v>66</v>
      </c>
      <c r="H27" s="11" t="n">
        <v>65</v>
      </c>
      <c r="I27" s="16" t="s">
        <v>266</v>
      </c>
    </row>
    <row r="28" customFormat="false" ht="15" hidden="false" customHeight="true" outlineLevel="0" collapsed="false">
      <c r="A28" s="14" t="s">
        <v>267</v>
      </c>
      <c r="B28" s="8" t="s">
        <v>32</v>
      </c>
      <c r="D28" s="30" t="n">
        <v>0.9</v>
      </c>
      <c r="E28" s="30" t="n">
        <v>0.9</v>
      </c>
      <c r="F28" s="30" t="n">
        <v>0.9</v>
      </c>
      <c r="G28" s="30" t="n">
        <v>0.9</v>
      </c>
      <c r="H28" s="30" t="n">
        <v>0.9</v>
      </c>
      <c r="I28" s="16" t="s">
        <v>268</v>
      </c>
    </row>
    <row r="29" customFormat="false" ht="15" hidden="false" customHeight="true" outlineLevel="0" collapsed="false">
      <c r="A29" s="14" t="s">
        <v>269</v>
      </c>
      <c r="B29" s="8" t="s">
        <v>35</v>
      </c>
      <c r="D29" s="28" t="n">
        <f aca="false">D28*D26</f>
        <v>99</v>
      </c>
      <c r="E29" s="28" t="n">
        <f aca="false">E28*E26</f>
        <v>100.8</v>
      </c>
      <c r="F29" s="28" t="n">
        <f aca="false">F28*F26</f>
        <v>102.6</v>
      </c>
      <c r="G29" s="28" t="n">
        <f aca="false">G28*G26</f>
        <v>103.5</v>
      </c>
      <c r="H29" s="28" t="n">
        <f aca="false">H28*H26</f>
        <v>103.5</v>
      </c>
      <c r="I29" s="3" t="s">
        <v>270</v>
      </c>
    </row>
    <row r="30" customFormat="false" ht="15" hidden="false" customHeight="true" outlineLevel="0" collapsed="false">
      <c r="A30" s="14" t="s">
        <v>271</v>
      </c>
      <c r="B30" s="8" t="s">
        <v>35</v>
      </c>
      <c r="D30" s="28" t="n">
        <f aca="false">D29-D27</f>
        <v>24</v>
      </c>
      <c r="E30" s="28" t="n">
        <f aca="false">E29-E27</f>
        <v>30.8</v>
      </c>
      <c r="F30" s="28" t="n">
        <f aca="false">F29-F27</f>
        <v>34.6</v>
      </c>
      <c r="G30" s="28" t="n">
        <f aca="false">G29-G27</f>
        <v>37.5</v>
      </c>
      <c r="H30" s="28" t="n">
        <f aca="false">H29-H27</f>
        <v>38.5</v>
      </c>
      <c r="I30" s="3" t="s">
        <v>272</v>
      </c>
    </row>
    <row r="31" customFormat="false" ht="15" hidden="false" customHeight="true" outlineLevel="0" collapsed="false">
      <c r="A31" s="14" t="s">
        <v>273</v>
      </c>
      <c r="B31" s="8" t="s">
        <v>35</v>
      </c>
      <c r="D31" s="11" t="n">
        <v>55</v>
      </c>
      <c r="E31" s="11" t="n">
        <v>54</v>
      </c>
      <c r="F31" s="11" t="n">
        <v>53</v>
      </c>
      <c r="G31" s="11" t="n">
        <v>52</v>
      </c>
      <c r="H31" s="11" t="n">
        <v>51</v>
      </c>
      <c r="I31" s="16" t="s">
        <v>43</v>
      </c>
    </row>
    <row r="32" customFormat="false" ht="15" hidden="false" customHeight="true" outlineLevel="0" collapsed="false">
      <c r="A32" s="14" t="s">
        <v>274</v>
      </c>
      <c r="B32" s="8" t="s">
        <v>35</v>
      </c>
      <c r="D32" s="28" t="n">
        <f aca="false">D29-D31</f>
        <v>44</v>
      </c>
      <c r="E32" s="28" t="n">
        <f aca="false">E29-E31</f>
        <v>46.8</v>
      </c>
      <c r="F32" s="28" t="n">
        <f aca="false">F29-F31</f>
        <v>49.6</v>
      </c>
      <c r="G32" s="28" t="n">
        <f aca="false">G29-G31</f>
        <v>51.5</v>
      </c>
      <c r="H32" s="28" t="n">
        <f aca="false">H29-H31</f>
        <v>52.5</v>
      </c>
      <c r="I32" s="3" t="s">
        <v>275</v>
      </c>
    </row>
    <row r="33" customFormat="false" ht="15" hidden="false" customHeight="true" outlineLevel="0" collapsed="false">
      <c r="A33" s="14" t="s">
        <v>276</v>
      </c>
      <c r="B33" s="8" t="s">
        <v>277</v>
      </c>
      <c r="D33" s="34" t="n">
        <v>1800</v>
      </c>
      <c r="E33" s="34" t="n">
        <v>1850</v>
      </c>
      <c r="F33" s="34" t="n">
        <v>1900</v>
      </c>
      <c r="G33" s="34" t="n">
        <v>1920</v>
      </c>
      <c r="H33" s="34" t="n">
        <v>1950</v>
      </c>
      <c r="I33" s="16" t="s">
        <v>278</v>
      </c>
    </row>
    <row r="34" customFormat="false" ht="15" hidden="false" customHeight="true" outlineLevel="0" collapsed="false">
      <c r="A34" s="14" t="s">
        <v>279</v>
      </c>
      <c r="B34" s="8" t="s">
        <v>277</v>
      </c>
      <c r="D34" s="34" t="n">
        <v>900</v>
      </c>
      <c r="E34" s="34" t="n">
        <v>920</v>
      </c>
      <c r="F34" s="34" t="n">
        <v>940</v>
      </c>
      <c r="G34" s="34" t="n">
        <v>950</v>
      </c>
      <c r="H34" s="34" t="n">
        <v>960</v>
      </c>
      <c r="I34" s="16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8" min="4" style="1" width="14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2" t="s">
        <v>281</v>
      </c>
    </row>
    <row r="2" customFormat="false" ht="15" hidden="false" customHeight="true" outlineLevel="0" collapsed="false">
      <c r="A2" s="3" t="s">
        <v>282</v>
      </c>
    </row>
    <row r="4" customFormat="false" ht="15" hidden="false" customHeight="true" outlineLevel="0" collapsed="false">
      <c r="A4" s="4" t="s">
        <v>283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true" outlineLevel="0" collapsed="false">
      <c r="A5" s="6" t="s">
        <v>284</v>
      </c>
      <c r="B5" s="6" t="s">
        <v>285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/>
      <c r="J5" s="6" t="s">
        <v>286</v>
      </c>
    </row>
    <row r="6" customFormat="false" ht="15" hidden="false" customHeight="true" outlineLevel="0" collapsed="false">
      <c r="A6" s="14" t="s">
        <v>287</v>
      </c>
      <c r="B6" s="15" t="s">
        <v>288</v>
      </c>
      <c r="C6" s="8" t="s">
        <v>289</v>
      </c>
      <c r="D6" s="11" t="n">
        <v>6</v>
      </c>
      <c r="E6" s="11" t="n">
        <v>6.2</v>
      </c>
      <c r="F6" s="11" t="n">
        <v>6.4</v>
      </c>
      <c r="G6" s="11" t="n">
        <v>6.6</v>
      </c>
      <c r="H6" s="11" t="n">
        <v>6.8</v>
      </c>
      <c r="J6" s="16" t="s">
        <v>290</v>
      </c>
    </row>
    <row r="7" customFormat="false" ht="15" hidden="false" customHeight="true" outlineLevel="0" collapsed="false">
      <c r="A7" s="15" t="s">
        <v>291</v>
      </c>
      <c r="B7" s="15"/>
      <c r="C7" s="8" t="s">
        <v>35</v>
      </c>
      <c r="D7" s="35" t="n">
        <v>80.5</v>
      </c>
      <c r="E7" s="35" t="n">
        <v>77.4</v>
      </c>
      <c r="F7" s="35" t="n">
        <v>74.5</v>
      </c>
      <c r="G7" s="35" t="n">
        <v>71.6</v>
      </c>
      <c r="H7" s="35" t="n">
        <v>68.8</v>
      </c>
      <c r="J7" s="16" t="s">
        <v>292</v>
      </c>
    </row>
    <row r="8" customFormat="false" ht="15" hidden="false" customHeight="true" outlineLevel="0" collapsed="false">
      <c r="A8" s="14" t="s">
        <v>293</v>
      </c>
      <c r="B8" s="15" t="s">
        <v>294</v>
      </c>
      <c r="C8" s="8" t="s">
        <v>289</v>
      </c>
      <c r="D8" s="11" t="n">
        <v>8</v>
      </c>
      <c r="E8" s="11" t="n">
        <v>8.5</v>
      </c>
      <c r="F8" s="11" t="n">
        <v>9</v>
      </c>
      <c r="G8" s="11" t="n">
        <v>9.5</v>
      </c>
      <c r="H8" s="11" t="n">
        <v>10</v>
      </c>
      <c r="J8" s="16" t="s">
        <v>295</v>
      </c>
    </row>
    <row r="9" customFormat="false" ht="15" hidden="false" customHeight="true" outlineLevel="0" collapsed="false">
      <c r="A9" s="15" t="s">
        <v>291</v>
      </c>
      <c r="B9" s="15"/>
      <c r="C9" s="8" t="s">
        <v>35</v>
      </c>
      <c r="D9" s="35" t="n">
        <v>51.5</v>
      </c>
      <c r="E9" s="35" t="n">
        <v>49.6</v>
      </c>
      <c r="F9" s="35" t="n">
        <v>47.8</v>
      </c>
      <c r="G9" s="35" t="n">
        <v>49.1</v>
      </c>
      <c r="H9" s="35" t="n">
        <v>50.5</v>
      </c>
      <c r="J9" s="16" t="s">
        <v>296</v>
      </c>
    </row>
    <row r="10" customFormat="false" ht="15" hidden="false" customHeight="true" outlineLevel="0" collapsed="false">
      <c r="A10" s="14" t="s">
        <v>297</v>
      </c>
      <c r="B10" s="15" t="s">
        <v>298</v>
      </c>
      <c r="C10" s="8" t="s">
        <v>289</v>
      </c>
      <c r="D10" s="11" t="n">
        <v>22</v>
      </c>
      <c r="E10" s="11" t="n">
        <v>21</v>
      </c>
      <c r="F10" s="11" t="n">
        <v>20</v>
      </c>
      <c r="G10" s="11" t="n">
        <v>19.5</v>
      </c>
      <c r="H10" s="11" t="n">
        <v>19</v>
      </c>
      <c r="J10" s="16" t="s">
        <v>299</v>
      </c>
    </row>
    <row r="11" customFormat="false" ht="15" hidden="false" customHeight="true" outlineLevel="0" collapsed="false">
      <c r="A11" s="15" t="s">
        <v>291</v>
      </c>
      <c r="B11" s="15"/>
      <c r="C11" s="8" t="s">
        <v>35</v>
      </c>
      <c r="D11" s="11" t="n">
        <v>30</v>
      </c>
      <c r="E11" s="11" t="n">
        <v>29</v>
      </c>
      <c r="F11" s="11" t="n">
        <v>28</v>
      </c>
      <c r="G11" s="11" t="n">
        <v>26.5</v>
      </c>
      <c r="H11" s="11" t="n">
        <v>25.5</v>
      </c>
      <c r="J11" s="16" t="s">
        <v>300</v>
      </c>
    </row>
    <row r="12" customFormat="false" ht="15" hidden="false" customHeight="true" outlineLevel="0" collapsed="false">
      <c r="A12" s="14" t="s">
        <v>301</v>
      </c>
      <c r="B12" s="15" t="s">
        <v>302</v>
      </c>
      <c r="C12" s="8" t="s">
        <v>289</v>
      </c>
      <c r="D12" s="11" t="n">
        <v>24</v>
      </c>
      <c r="E12" s="11" t="n">
        <v>23.5</v>
      </c>
      <c r="F12" s="11" t="n">
        <v>23</v>
      </c>
      <c r="G12" s="11" t="n">
        <v>22.5</v>
      </c>
      <c r="H12" s="11" t="n">
        <v>22</v>
      </c>
      <c r="J12" s="16" t="s">
        <v>303</v>
      </c>
    </row>
    <row r="13" customFormat="false" ht="15" hidden="false" customHeight="true" outlineLevel="0" collapsed="false">
      <c r="A13" s="15" t="s">
        <v>291</v>
      </c>
      <c r="B13" s="15"/>
      <c r="C13" s="8" t="s">
        <v>35</v>
      </c>
      <c r="D13" s="11" t="n">
        <v>10</v>
      </c>
      <c r="E13" s="11" t="n">
        <v>10</v>
      </c>
      <c r="F13" s="11" t="n">
        <v>10</v>
      </c>
      <c r="G13" s="11" t="n">
        <v>10</v>
      </c>
      <c r="H13" s="11" t="n">
        <v>12</v>
      </c>
      <c r="J13" s="16" t="s">
        <v>304</v>
      </c>
    </row>
    <row r="14" customFormat="false" ht="15" hidden="false" customHeight="true" outlineLevel="0" collapsed="false">
      <c r="A14" s="14" t="s">
        <v>305</v>
      </c>
      <c r="B14" s="15" t="s">
        <v>306</v>
      </c>
      <c r="C14" s="8" t="s">
        <v>289</v>
      </c>
      <c r="D14" s="11" t="n">
        <v>20</v>
      </c>
      <c r="E14" s="11" t="n">
        <v>20</v>
      </c>
      <c r="F14" s="11" t="n">
        <v>20</v>
      </c>
      <c r="G14" s="11" t="n">
        <v>20</v>
      </c>
      <c r="H14" s="11" t="n">
        <v>20</v>
      </c>
      <c r="J14" s="16" t="s">
        <v>307</v>
      </c>
    </row>
    <row r="15" customFormat="false" ht="15" hidden="false" customHeight="true" outlineLevel="0" collapsed="false">
      <c r="A15" s="15" t="s">
        <v>291</v>
      </c>
      <c r="B15" s="15"/>
      <c r="C15" s="8" t="s">
        <v>35</v>
      </c>
      <c r="D15" s="11" t="n">
        <v>12</v>
      </c>
      <c r="E15" s="11" t="n">
        <v>10</v>
      </c>
      <c r="F15" s="11" t="n">
        <v>8</v>
      </c>
      <c r="G15" s="11" t="n">
        <v>6</v>
      </c>
      <c r="H15" s="11" t="n">
        <v>5</v>
      </c>
      <c r="J15" s="16" t="s">
        <v>308</v>
      </c>
    </row>
    <row r="16" customFormat="false" ht="15" hidden="false" customHeight="true" outlineLevel="0" collapsed="false">
      <c r="A16" s="14" t="s">
        <v>309</v>
      </c>
      <c r="B16" s="15" t="s">
        <v>310</v>
      </c>
      <c r="C16" s="8" t="s">
        <v>289</v>
      </c>
      <c r="D16" s="11" t="n">
        <v>28</v>
      </c>
      <c r="E16" s="11" t="n">
        <v>29</v>
      </c>
      <c r="F16" s="11" t="n">
        <v>30</v>
      </c>
      <c r="G16" s="11" t="n">
        <v>31</v>
      </c>
      <c r="H16" s="11" t="n">
        <v>32</v>
      </c>
      <c r="J16" s="16" t="s">
        <v>311</v>
      </c>
    </row>
    <row r="17" customFormat="false" ht="15" hidden="false" customHeight="true" outlineLevel="0" collapsed="false">
      <c r="A17" s="15" t="s">
        <v>291</v>
      </c>
      <c r="B17" s="15"/>
      <c r="C17" s="8" t="s">
        <v>35</v>
      </c>
      <c r="D17" s="11" t="n">
        <v>55</v>
      </c>
      <c r="E17" s="11" t="n">
        <v>54</v>
      </c>
      <c r="F17" s="11" t="n">
        <v>53</v>
      </c>
      <c r="G17" s="11" t="n">
        <v>52</v>
      </c>
      <c r="H17" s="11" t="n">
        <v>51</v>
      </c>
      <c r="J17" s="16" t="s">
        <v>312</v>
      </c>
    </row>
    <row r="18" customFormat="false" ht="15" hidden="false" customHeight="true" outlineLevel="0" collapsed="false">
      <c r="A18" s="14" t="s">
        <v>313</v>
      </c>
      <c r="B18" s="15" t="s">
        <v>314</v>
      </c>
      <c r="C18" s="8" t="s">
        <v>289</v>
      </c>
      <c r="D18" s="11" t="n">
        <v>32</v>
      </c>
      <c r="E18" s="11" t="n">
        <v>30</v>
      </c>
      <c r="F18" s="11" t="n">
        <v>28</v>
      </c>
      <c r="G18" s="11" t="n">
        <v>26</v>
      </c>
      <c r="H18" s="11" t="n">
        <v>25</v>
      </c>
      <c r="J18" s="16" t="s">
        <v>315</v>
      </c>
    </row>
    <row r="19" customFormat="false" ht="15" hidden="false" customHeight="true" outlineLevel="0" collapsed="false">
      <c r="A19" s="15" t="s">
        <v>291</v>
      </c>
      <c r="B19" s="15"/>
      <c r="C19" s="8" t="s">
        <v>35</v>
      </c>
      <c r="D19" s="35" t="n">
        <v>120</v>
      </c>
      <c r="E19" s="35" t="n">
        <v>130</v>
      </c>
      <c r="F19" s="35" t="n">
        <v>140</v>
      </c>
      <c r="G19" s="35" t="n">
        <v>148</v>
      </c>
      <c r="H19" s="35" t="n">
        <v>155</v>
      </c>
      <c r="J19" s="16" t="s">
        <v>316</v>
      </c>
    </row>
    <row r="21" customFormat="false" ht="15" hidden="false" customHeight="true" outlineLevel="0" collapsed="false">
      <c r="A21" s="36" t="s">
        <v>317</v>
      </c>
      <c r="B21" s="32"/>
      <c r="C21" s="32"/>
      <c r="D21" s="24" t="n">
        <f aca="false">D7+D9+D11+D13+D15+D17+D19</f>
        <v>359</v>
      </c>
      <c r="E21" s="24" t="n">
        <f aca="false">E7+E9+E11+E13+E15+E17+E19</f>
        <v>360</v>
      </c>
      <c r="F21" s="24" t="n">
        <f aca="false">F7+F9+F11+F13+F15+F17+F19</f>
        <v>361.3</v>
      </c>
      <c r="G21" s="24" t="n">
        <f aca="false">G7+G9+G11+G13+G15+G17+G19</f>
        <v>363.2</v>
      </c>
      <c r="H21" s="24" t="n">
        <f aca="false">H7+H9+H11+H13+H15+H17+H19</f>
        <v>367.8</v>
      </c>
      <c r="I21" s="32"/>
      <c r="J21" s="32"/>
    </row>
    <row r="22" customFormat="false" ht="15" hidden="false" customHeight="true" outlineLevel="0" collapsed="false">
      <c r="A22" s="37" t="s">
        <v>318</v>
      </c>
      <c r="D22" s="27" t="n">
        <v>340</v>
      </c>
      <c r="E22" s="27" t="n">
        <v>335</v>
      </c>
      <c r="F22" s="27" t="n">
        <v>330</v>
      </c>
      <c r="G22" s="27" t="n">
        <v>325</v>
      </c>
      <c r="H22" s="27" t="n">
        <v>320</v>
      </c>
    </row>
    <row r="23" customFormat="false" ht="15" hidden="false" customHeight="true" outlineLevel="0" collapsed="false">
      <c r="A23" s="38" t="s">
        <v>319</v>
      </c>
      <c r="B23" s="39"/>
      <c r="C23" s="39"/>
      <c r="D23" s="40" t="n">
        <f aca="false">D21-D22</f>
        <v>19</v>
      </c>
      <c r="E23" s="40" t="n">
        <f aca="false">E21-E22</f>
        <v>25</v>
      </c>
      <c r="F23" s="40" t="n">
        <f aca="false">F21-F22</f>
        <v>31.3</v>
      </c>
      <c r="G23" s="40" t="n">
        <f aca="false">G21-G22</f>
        <v>38.2</v>
      </c>
      <c r="H23" s="40" t="n">
        <f aca="false">H21-H22</f>
        <v>47.8</v>
      </c>
      <c r="I23" s="39"/>
      <c r="J23" s="39"/>
    </row>
    <row r="25" customFormat="false" ht="15" hidden="false" customHeight="true" outlineLevel="0" collapsed="false">
      <c r="A25" s="41" t="s">
        <v>320</v>
      </c>
      <c r="B25" s="42"/>
      <c r="C25" s="42"/>
      <c r="D25" s="42"/>
      <c r="E25" s="42"/>
      <c r="F25" s="42"/>
      <c r="G25" s="42"/>
      <c r="H25" s="42"/>
      <c r="I25" s="42"/>
      <c r="J25" s="42"/>
    </row>
    <row r="26" customFormat="false" ht="15" hidden="false" customHeight="true" outlineLevel="0" collapsed="false">
      <c r="A26" s="14" t="s">
        <v>321</v>
      </c>
      <c r="D26" s="11" t="n">
        <v>32</v>
      </c>
      <c r="E26" s="11" t="n">
        <v>30</v>
      </c>
      <c r="F26" s="11" t="n">
        <v>28</v>
      </c>
      <c r="G26" s="11" t="n">
        <v>26</v>
      </c>
      <c r="H26" s="11" t="n">
        <v>25</v>
      </c>
      <c r="J26" s="16" t="s">
        <v>322</v>
      </c>
    </row>
    <row r="27" customFormat="false" ht="15" hidden="false" customHeight="true" outlineLevel="0" collapsed="false">
      <c r="A27" s="14" t="s">
        <v>323</v>
      </c>
      <c r="D27" s="11" t="n">
        <v>2</v>
      </c>
      <c r="E27" s="11" t="n">
        <v>1</v>
      </c>
      <c r="F27" s="11" t="n">
        <v>0</v>
      </c>
      <c r="G27" s="11" t="n">
        <v>-1</v>
      </c>
      <c r="H27" s="11" t="n">
        <v>-2</v>
      </c>
      <c r="J27" s="16" t="s">
        <v>324</v>
      </c>
    </row>
    <row r="28" customFormat="false" ht="15" hidden="false" customHeight="true" outlineLevel="0" collapsed="false">
      <c r="A28" s="14" t="s">
        <v>325</v>
      </c>
      <c r="D28" s="11" t="n">
        <v>5</v>
      </c>
      <c r="E28" s="11" t="n">
        <v>5</v>
      </c>
      <c r="F28" s="11" t="n">
        <v>5</v>
      </c>
      <c r="G28" s="11" t="n">
        <v>5</v>
      </c>
      <c r="H28" s="11" t="n">
        <v>5</v>
      </c>
      <c r="J28" s="16" t="s">
        <v>326</v>
      </c>
    </row>
    <row r="29" customFormat="false" ht="15" hidden="false" customHeight="true" outlineLevel="0" collapsed="false">
      <c r="A29" s="14" t="s">
        <v>327</v>
      </c>
      <c r="D29" s="11" t="n">
        <v>3.5</v>
      </c>
      <c r="E29" s="11" t="n">
        <v>4</v>
      </c>
      <c r="F29" s="11" t="n">
        <v>4.5</v>
      </c>
      <c r="G29" s="11" t="n">
        <v>5</v>
      </c>
      <c r="H29" s="11" t="n">
        <v>5.5</v>
      </c>
      <c r="J29" s="16" t="s">
        <v>328</v>
      </c>
    </row>
    <row r="31" customFormat="false" ht="17.25" hidden="false" customHeight="true" outlineLevel="0" collapsed="false">
      <c r="A31" s="43" t="s">
        <v>329</v>
      </c>
      <c r="B31" s="44"/>
      <c r="C31" s="44"/>
      <c r="D31" s="45" t="n">
        <f aca="false">D26+D27+D28+D29</f>
        <v>42.5</v>
      </c>
      <c r="E31" s="45" t="n">
        <f aca="false">E26+E27+E28+E29</f>
        <v>40</v>
      </c>
      <c r="F31" s="45" t="n">
        <f aca="false">F26+F27+F28+F29</f>
        <v>37.5</v>
      </c>
      <c r="G31" s="45" t="n">
        <f aca="false">G26+G27+G28+G29</f>
        <v>35</v>
      </c>
      <c r="H31" s="45" t="n">
        <f aca="false">H26+H27+H28+H29</f>
        <v>33.5</v>
      </c>
      <c r="I31" s="44"/>
      <c r="J31" s="44"/>
    </row>
    <row r="32" customFormat="false" ht="15" hidden="false" customHeight="true" outlineLevel="0" collapsed="false">
      <c r="A32" s="14" t="s">
        <v>330</v>
      </c>
      <c r="D32" s="46" t="n">
        <f aca="false">D31*0.293*Assumptions!C6</f>
        <v>13.4487</v>
      </c>
      <c r="E32" s="46" t="n">
        <f aca="false">E31*0.293*Assumptions!D6</f>
        <v>12.892</v>
      </c>
      <c r="F32" s="46" t="n">
        <f aca="false">F31*0.293*Assumptions!E6</f>
        <v>12.306</v>
      </c>
      <c r="G32" s="46" t="n">
        <f aca="false">G31*0.293*Assumptions!F6</f>
        <v>11.4856</v>
      </c>
      <c r="H32" s="46" t="n">
        <f aca="false">H31*0.293*Assumptions!G6</f>
        <v>10.99336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40"/>
    <col collapsed="false" customWidth="true" hidden="false" outlineLevel="0" max="5" min="3" style="1" width="22"/>
    <col collapsed="false" customWidth="true" hidden="false" outlineLevel="0" max="7" min="6" style="1" width="14"/>
  </cols>
  <sheetData>
    <row r="1" customFormat="false" ht="17.25" hidden="false" customHeight="true" outlineLevel="0" collapsed="false">
      <c r="A1" s="2" t="s">
        <v>331</v>
      </c>
    </row>
    <row r="2" customFormat="false" ht="15" hidden="false" customHeight="true" outlineLevel="0" collapsed="false">
      <c r="A2" s="3" t="s">
        <v>332</v>
      </c>
    </row>
    <row r="4" customFormat="false" ht="15" hidden="false" customHeight="true" outlineLevel="0" collapsed="false">
      <c r="A4" s="4" t="s">
        <v>333</v>
      </c>
      <c r="B4" s="5"/>
      <c r="C4" s="5"/>
      <c r="D4" s="5"/>
      <c r="E4" s="5"/>
      <c r="F4" s="5"/>
      <c r="G4" s="5"/>
    </row>
    <row r="5" customFormat="false" ht="15" hidden="false" customHeight="true" outlineLevel="0" collapsed="false">
      <c r="A5" s="6" t="s">
        <v>334</v>
      </c>
      <c r="B5" s="6" t="s">
        <v>335</v>
      </c>
      <c r="C5" s="6" t="s">
        <v>336</v>
      </c>
      <c r="D5" s="6" t="s">
        <v>337</v>
      </c>
      <c r="E5" s="6" t="s">
        <v>338</v>
      </c>
      <c r="F5" s="6" t="s">
        <v>339</v>
      </c>
      <c r="G5" s="6" t="s">
        <v>340</v>
      </c>
    </row>
    <row r="6" customFormat="false" ht="15" hidden="false" customHeight="true" outlineLevel="0" collapsed="false">
      <c r="A6" s="47" t="s">
        <v>341</v>
      </c>
      <c r="B6" s="48" t="s">
        <v>342</v>
      </c>
      <c r="C6" s="49" t="n">
        <v>0</v>
      </c>
      <c r="D6" s="49" t="n">
        <v>0</v>
      </c>
      <c r="E6" s="49" t="n">
        <v>0</v>
      </c>
      <c r="F6" s="50" t="s">
        <v>343</v>
      </c>
      <c r="G6" s="50" t="s">
        <v>344</v>
      </c>
    </row>
    <row r="7" customFormat="false" ht="15" hidden="false" customHeight="true" outlineLevel="0" collapsed="false">
      <c r="A7" s="14" t="s">
        <v>345</v>
      </c>
      <c r="B7" s="13" t="s">
        <v>346</v>
      </c>
      <c r="C7" s="49" t="n">
        <v>0</v>
      </c>
      <c r="D7" s="49" t="n">
        <v>25</v>
      </c>
      <c r="E7" s="49" t="n">
        <v>8</v>
      </c>
      <c r="F7" s="51" t="s">
        <v>347</v>
      </c>
      <c r="G7" s="51" t="s">
        <v>348</v>
      </c>
    </row>
    <row r="8" customFormat="false" ht="15" hidden="false" customHeight="true" outlineLevel="0" collapsed="false">
      <c r="A8" s="14" t="s">
        <v>349</v>
      </c>
      <c r="B8" s="13" t="s">
        <v>350</v>
      </c>
      <c r="C8" s="49" t="n">
        <v>0</v>
      </c>
      <c r="D8" s="49" t="n">
        <v>-20</v>
      </c>
      <c r="E8" s="49" t="n">
        <v>-6</v>
      </c>
      <c r="F8" s="51" t="s">
        <v>347</v>
      </c>
      <c r="G8" s="51" t="s">
        <v>348</v>
      </c>
    </row>
    <row r="9" customFormat="false" ht="15" hidden="false" customHeight="true" outlineLevel="0" collapsed="false">
      <c r="A9" s="14" t="s">
        <v>351</v>
      </c>
      <c r="B9" s="13" t="s">
        <v>352</v>
      </c>
      <c r="C9" s="49" t="n">
        <v>-12</v>
      </c>
      <c r="D9" s="49" t="n">
        <v>0</v>
      </c>
      <c r="E9" s="49" t="n">
        <v>12</v>
      </c>
      <c r="F9" s="51" t="s">
        <v>353</v>
      </c>
      <c r="G9" s="51" t="s">
        <v>354</v>
      </c>
    </row>
    <row r="10" customFormat="false" ht="15" hidden="false" customHeight="true" outlineLevel="0" collapsed="false">
      <c r="A10" s="14" t="s">
        <v>355</v>
      </c>
      <c r="B10" s="13" t="s">
        <v>356</v>
      </c>
      <c r="C10" s="49" t="n">
        <v>18</v>
      </c>
      <c r="D10" s="49" t="n">
        <v>0</v>
      </c>
      <c r="E10" s="49" t="n">
        <v>-15</v>
      </c>
      <c r="F10" s="51" t="s">
        <v>357</v>
      </c>
      <c r="G10" s="51" t="s">
        <v>358</v>
      </c>
    </row>
    <row r="11" customFormat="false" ht="15" hidden="false" customHeight="true" outlineLevel="0" collapsed="false">
      <c r="A11" s="14" t="s">
        <v>359</v>
      </c>
      <c r="B11" s="13" t="s">
        <v>360</v>
      </c>
      <c r="C11" s="49" t="n">
        <v>-20</v>
      </c>
      <c r="D11" s="49" t="n">
        <v>0</v>
      </c>
      <c r="E11" s="49" t="n">
        <v>10</v>
      </c>
      <c r="F11" s="51" t="s">
        <v>353</v>
      </c>
      <c r="G11" s="51" t="s">
        <v>361</v>
      </c>
    </row>
    <row r="12" customFormat="false" ht="15" hidden="false" customHeight="true" outlineLevel="0" collapsed="false">
      <c r="A12" s="14" t="s">
        <v>362</v>
      </c>
      <c r="B12" s="13" t="s">
        <v>363</v>
      </c>
      <c r="C12" s="49" t="n">
        <v>-6</v>
      </c>
      <c r="D12" s="49" t="n">
        <v>0</v>
      </c>
      <c r="E12" s="49" t="n">
        <v>15</v>
      </c>
      <c r="F12" s="51" t="s">
        <v>357</v>
      </c>
      <c r="G12" s="51" t="s">
        <v>364</v>
      </c>
    </row>
    <row r="13" customFormat="false" ht="15" hidden="false" customHeight="true" outlineLevel="0" collapsed="false">
      <c r="A13" s="14" t="s">
        <v>365</v>
      </c>
      <c r="B13" s="13" t="s">
        <v>366</v>
      </c>
      <c r="C13" s="49" t="n">
        <v>0</v>
      </c>
      <c r="D13" s="49" t="n">
        <v>-12</v>
      </c>
      <c r="E13" s="49" t="n">
        <v>-4</v>
      </c>
      <c r="F13" s="51" t="s">
        <v>353</v>
      </c>
      <c r="G13" s="51" t="s">
        <v>358</v>
      </c>
    </row>
    <row r="14" customFormat="false" ht="15" hidden="false" customHeight="true" outlineLevel="0" collapsed="false">
      <c r="A14" s="14" t="s">
        <v>367</v>
      </c>
      <c r="B14" s="13" t="s">
        <v>368</v>
      </c>
      <c r="C14" s="49" t="n">
        <v>-8</v>
      </c>
      <c r="D14" s="49" t="n">
        <v>0</v>
      </c>
      <c r="E14" s="49" t="n">
        <v>8</v>
      </c>
      <c r="F14" s="51" t="s">
        <v>369</v>
      </c>
      <c r="G14" s="51" t="s">
        <v>370</v>
      </c>
    </row>
    <row r="15" customFormat="false" ht="15" hidden="false" customHeight="true" outlineLevel="0" collapsed="false">
      <c r="A15" s="14" t="s">
        <v>371</v>
      </c>
      <c r="B15" s="13" t="s">
        <v>372</v>
      </c>
      <c r="C15" s="49" t="n">
        <v>-20</v>
      </c>
      <c r="D15" s="49" t="n">
        <v>0</v>
      </c>
      <c r="E15" s="49" t="n">
        <v>5</v>
      </c>
      <c r="F15" s="51" t="s">
        <v>347</v>
      </c>
      <c r="G15" s="51" t="s">
        <v>373</v>
      </c>
    </row>
    <row r="16" customFormat="false" ht="15" hidden="false" customHeight="true" outlineLevel="0" collapsed="false">
      <c r="A16" s="14" t="s">
        <v>374</v>
      </c>
      <c r="B16" s="13" t="s">
        <v>375</v>
      </c>
      <c r="C16" s="49" t="n">
        <v>0</v>
      </c>
      <c r="D16" s="49" t="n">
        <v>15</v>
      </c>
      <c r="E16" s="49" t="n">
        <v>6</v>
      </c>
      <c r="F16" s="51" t="s">
        <v>353</v>
      </c>
      <c r="G16" s="51" t="s">
        <v>358</v>
      </c>
    </row>
    <row r="17" customFormat="false" ht="15" hidden="false" customHeight="true" outlineLevel="0" collapsed="false">
      <c r="A17" s="14" t="s">
        <v>376</v>
      </c>
      <c r="B17" s="13" t="s">
        <v>377</v>
      </c>
      <c r="C17" s="49" t="n">
        <v>0</v>
      </c>
      <c r="D17" s="49" t="n">
        <v>5.5</v>
      </c>
      <c r="E17" s="49" t="n">
        <v>3</v>
      </c>
      <c r="F17" s="51" t="s">
        <v>357</v>
      </c>
      <c r="G17" s="51" t="s">
        <v>378</v>
      </c>
    </row>
    <row r="20" customFormat="false" ht="15" hidden="false" customHeight="true" outlineLevel="0" collapsed="false">
      <c r="A20" s="4" t="s">
        <v>379</v>
      </c>
      <c r="B20" s="5"/>
      <c r="C20" s="5"/>
      <c r="D20" s="5"/>
      <c r="E20" s="5"/>
    </row>
    <row r="21" customFormat="false" ht="15" hidden="false" customHeight="true" outlineLevel="0" collapsed="false">
      <c r="A21" s="6" t="s">
        <v>380</v>
      </c>
      <c r="B21" s="6" t="s">
        <v>381</v>
      </c>
      <c r="C21" s="6" t="s">
        <v>338</v>
      </c>
      <c r="D21" s="6" t="s">
        <v>382</v>
      </c>
      <c r="E21" s="6" t="s">
        <v>383</v>
      </c>
    </row>
    <row r="22" customFormat="false" ht="15" hidden="false" customHeight="true" outlineLevel="0" collapsed="false">
      <c r="A22" s="14" t="s">
        <v>384</v>
      </c>
      <c r="B22" s="51" t="s">
        <v>385</v>
      </c>
      <c r="C22" s="52" t="s">
        <v>386</v>
      </c>
      <c r="D22" s="51" t="s">
        <v>387</v>
      </c>
      <c r="E22" s="51" t="s">
        <v>388</v>
      </c>
    </row>
    <row r="23" customFormat="false" ht="15" hidden="false" customHeight="true" outlineLevel="0" collapsed="false">
      <c r="A23" s="14" t="s">
        <v>14</v>
      </c>
      <c r="B23" s="51" t="s">
        <v>389</v>
      </c>
      <c r="C23" s="52" t="s">
        <v>390</v>
      </c>
      <c r="D23" s="51" t="s">
        <v>387</v>
      </c>
      <c r="E23" s="51" t="s">
        <v>388</v>
      </c>
    </row>
    <row r="24" customFormat="false" ht="15" hidden="false" customHeight="true" outlineLevel="0" collapsed="false">
      <c r="A24" s="14" t="s">
        <v>17</v>
      </c>
      <c r="B24" s="51" t="s">
        <v>391</v>
      </c>
      <c r="C24" s="52" t="s">
        <v>392</v>
      </c>
      <c r="D24" s="51" t="s">
        <v>393</v>
      </c>
      <c r="E24" s="51" t="s">
        <v>394</v>
      </c>
    </row>
    <row r="25" customFormat="false" ht="15" hidden="false" customHeight="true" outlineLevel="0" collapsed="false">
      <c r="A25" s="14" t="s">
        <v>395</v>
      </c>
      <c r="B25" s="51" t="s">
        <v>396</v>
      </c>
      <c r="C25" s="52" t="s">
        <v>397</v>
      </c>
      <c r="D25" s="51" t="s">
        <v>387</v>
      </c>
      <c r="E25" s="51" t="s">
        <v>388</v>
      </c>
    </row>
    <row r="26" customFormat="false" ht="15" hidden="false" customHeight="true" outlineLevel="0" collapsed="false">
      <c r="A26" s="14" t="s">
        <v>398</v>
      </c>
      <c r="B26" s="51" t="s">
        <v>399</v>
      </c>
      <c r="C26" s="52" t="s">
        <v>400</v>
      </c>
      <c r="D26" s="51" t="s">
        <v>387</v>
      </c>
      <c r="E26" s="51" t="s">
        <v>394</v>
      </c>
    </row>
    <row r="27" customFormat="false" ht="15" hidden="false" customHeight="true" outlineLevel="0" collapsed="false">
      <c r="A27" s="14" t="s">
        <v>401</v>
      </c>
      <c r="B27" s="51" t="s">
        <v>402</v>
      </c>
      <c r="C27" s="52" t="s">
        <v>403</v>
      </c>
      <c r="D27" s="51" t="s">
        <v>387</v>
      </c>
      <c r="E27" s="51" t="s">
        <v>394</v>
      </c>
    </row>
    <row r="28" customFormat="false" ht="15" hidden="false" customHeight="true" outlineLevel="0" collapsed="false">
      <c r="A28" s="14" t="s">
        <v>11</v>
      </c>
      <c r="B28" s="51" t="s">
        <v>404</v>
      </c>
      <c r="C28" s="52" t="s">
        <v>405</v>
      </c>
      <c r="D28" s="51" t="s">
        <v>406</v>
      </c>
      <c r="E28" s="51" t="s">
        <v>394</v>
      </c>
    </row>
    <row r="29" customFormat="false" ht="15" hidden="false" customHeight="true" outlineLevel="0" collapsed="false">
      <c r="A29" s="14" t="s">
        <v>407</v>
      </c>
      <c r="B29" s="51" t="s">
        <v>408</v>
      </c>
      <c r="C29" s="52" t="s">
        <v>409</v>
      </c>
      <c r="D29" s="51" t="s">
        <v>387</v>
      </c>
      <c r="E29" s="51" t="s">
        <v>388</v>
      </c>
    </row>
    <row r="30" customFormat="false" ht="15" hidden="false" customHeight="true" outlineLevel="0" collapsed="false">
      <c r="A30" s="14" t="s">
        <v>410</v>
      </c>
      <c r="B30" s="51" t="s">
        <v>411</v>
      </c>
      <c r="C30" s="52" t="s">
        <v>412</v>
      </c>
      <c r="D30" s="51" t="s">
        <v>387</v>
      </c>
      <c r="E30" s="51" t="s">
        <v>388</v>
      </c>
    </row>
    <row r="31" customFormat="false" ht="15" hidden="false" customHeight="true" outlineLevel="0" collapsed="false">
      <c r="A31" s="14" t="s">
        <v>413</v>
      </c>
      <c r="B31" s="51" t="s">
        <v>414</v>
      </c>
      <c r="C31" s="52" t="s">
        <v>415</v>
      </c>
      <c r="D31" s="51" t="s">
        <v>387</v>
      </c>
      <c r="E31" s="51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40"/>
    <col collapsed="false" customWidth="true" hidden="false" outlineLevel="0" max="6" min="6" style="1" width="25"/>
  </cols>
  <sheetData>
    <row r="1" customFormat="false" ht="17.25" hidden="false" customHeight="true" outlineLevel="0" collapsed="false">
      <c r="A1" s="2" t="s">
        <v>416</v>
      </c>
    </row>
    <row r="2" customFormat="false" ht="15" hidden="false" customHeight="true" outlineLevel="0" collapsed="false">
      <c r="A2" s="3" t="s">
        <v>417</v>
      </c>
    </row>
    <row r="4" customFormat="false" ht="15" hidden="false" customHeight="true" outlineLevel="0" collapsed="false">
      <c r="A4" s="6" t="s">
        <v>418</v>
      </c>
      <c r="B4" s="6" t="s">
        <v>248</v>
      </c>
      <c r="C4" s="6" t="s">
        <v>419</v>
      </c>
      <c r="D4" s="6" t="s">
        <v>420</v>
      </c>
      <c r="E4" s="6" t="s">
        <v>421</v>
      </c>
      <c r="F4" s="6" t="s">
        <v>422</v>
      </c>
    </row>
    <row r="5" customFormat="false" ht="15" hidden="false" customHeight="true" outlineLevel="0" collapsed="false">
      <c r="A5" s="14" t="s">
        <v>423</v>
      </c>
      <c r="B5" s="51" t="s">
        <v>424</v>
      </c>
      <c r="C5" s="51" t="s">
        <v>425</v>
      </c>
      <c r="D5" s="51" t="s">
        <v>426</v>
      </c>
      <c r="E5" s="13" t="s">
        <v>427</v>
      </c>
      <c r="F5" s="13" t="s">
        <v>428</v>
      </c>
    </row>
    <row r="6" customFormat="false" ht="15" hidden="false" customHeight="true" outlineLevel="0" collapsed="false">
      <c r="A6" s="14" t="s">
        <v>429</v>
      </c>
      <c r="B6" s="51" t="s">
        <v>430</v>
      </c>
      <c r="C6" s="51" t="s">
        <v>425</v>
      </c>
      <c r="D6" s="51" t="s">
        <v>431</v>
      </c>
      <c r="E6" s="13" t="s">
        <v>432</v>
      </c>
      <c r="F6" s="13" t="s">
        <v>428</v>
      </c>
    </row>
    <row r="7" customFormat="false" ht="15" hidden="false" customHeight="true" outlineLevel="0" collapsed="false">
      <c r="A7" s="14" t="s">
        <v>433</v>
      </c>
      <c r="B7" s="51" t="s">
        <v>434</v>
      </c>
      <c r="C7" s="51" t="s">
        <v>425</v>
      </c>
      <c r="D7" s="51" t="s">
        <v>431</v>
      </c>
      <c r="E7" s="13" t="s">
        <v>435</v>
      </c>
      <c r="F7" s="13" t="s">
        <v>428</v>
      </c>
    </row>
    <row r="8" customFormat="false" ht="15" hidden="false" customHeight="true" outlineLevel="0" collapsed="false">
      <c r="A8" s="14" t="s">
        <v>436</v>
      </c>
      <c r="B8" s="51" t="s">
        <v>434</v>
      </c>
      <c r="C8" s="51" t="s">
        <v>425</v>
      </c>
      <c r="D8" s="51" t="s">
        <v>431</v>
      </c>
      <c r="E8" s="13" t="s">
        <v>435</v>
      </c>
      <c r="F8" s="13" t="s">
        <v>428</v>
      </c>
    </row>
    <row r="9" customFormat="false" ht="15" hidden="false" customHeight="true" outlineLevel="0" collapsed="false">
      <c r="A9" s="14" t="s">
        <v>437</v>
      </c>
      <c r="B9" s="51" t="s">
        <v>438</v>
      </c>
      <c r="C9" s="51" t="s">
        <v>439</v>
      </c>
      <c r="D9" s="51" t="s">
        <v>440</v>
      </c>
      <c r="E9" s="13" t="s">
        <v>441</v>
      </c>
      <c r="F9" s="13" t="s">
        <v>442</v>
      </c>
    </row>
    <row r="10" customFormat="false" ht="15" hidden="false" customHeight="true" outlineLevel="0" collapsed="false">
      <c r="A10" s="14" t="s">
        <v>443</v>
      </c>
      <c r="B10" s="51" t="s">
        <v>444</v>
      </c>
      <c r="C10" s="51" t="s">
        <v>445</v>
      </c>
      <c r="D10" s="51" t="s">
        <v>446</v>
      </c>
      <c r="E10" s="13" t="s">
        <v>447</v>
      </c>
      <c r="F10" s="13" t="s">
        <v>448</v>
      </c>
    </row>
    <row r="11" customFormat="false" ht="15" hidden="false" customHeight="true" outlineLevel="0" collapsed="false">
      <c r="A11" s="14" t="s">
        <v>449</v>
      </c>
      <c r="B11" s="51" t="s">
        <v>36</v>
      </c>
      <c r="C11" s="51" t="s">
        <v>450</v>
      </c>
      <c r="D11" s="51" t="s">
        <v>431</v>
      </c>
      <c r="E11" s="13" t="s">
        <v>451</v>
      </c>
      <c r="F11" s="13" t="s">
        <v>452</v>
      </c>
    </row>
    <row r="12" customFormat="false" ht="15" hidden="false" customHeight="true" outlineLevel="0" collapsed="false">
      <c r="A12" s="14" t="s">
        <v>453</v>
      </c>
      <c r="B12" s="51" t="s">
        <v>454</v>
      </c>
      <c r="C12" s="51" t="s">
        <v>450</v>
      </c>
      <c r="D12" s="51" t="s">
        <v>431</v>
      </c>
      <c r="E12" s="13" t="s">
        <v>455</v>
      </c>
      <c r="F12" s="13" t="s">
        <v>456</v>
      </c>
    </row>
    <row r="13" customFormat="false" ht="15" hidden="false" customHeight="true" outlineLevel="0" collapsed="false">
      <c r="A13" s="14" t="s">
        <v>457</v>
      </c>
      <c r="B13" s="51" t="s">
        <v>458</v>
      </c>
      <c r="C13" s="51" t="s">
        <v>450</v>
      </c>
      <c r="D13" s="51" t="s">
        <v>431</v>
      </c>
      <c r="E13" s="13" t="s">
        <v>459</v>
      </c>
      <c r="F13" s="13" t="s">
        <v>452</v>
      </c>
    </row>
    <row r="14" customFormat="false" ht="15" hidden="false" customHeight="true" outlineLevel="0" collapsed="false">
      <c r="A14" s="14" t="s">
        <v>460</v>
      </c>
      <c r="B14" s="51" t="s">
        <v>461</v>
      </c>
      <c r="C14" s="51" t="s">
        <v>462</v>
      </c>
      <c r="D14" s="51" t="s">
        <v>431</v>
      </c>
      <c r="E14" s="13" t="s">
        <v>463</v>
      </c>
      <c r="F14" s="13" t="s">
        <v>456</v>
      </c>
    </row>
    <row r="15" customFormat="false" ht="15" hidden="false" customHeight="true" outlineLevel="0" collapsed="false">
      <c r="A15" s="14" t="s">
        <v>464</v>
      </c>
      <c r="B15" s="51" t="s">
        <v>465</v>
      </c>
      <c r="C15" s="51" t="s">
        <v>439</v>
      </c>
      <c r="D15" s="51" t="s">
        <v>431</v>
      </c>
      <c r="E15" s="13" t="s">
        <v>466</v>
      </c>
      <c r="F15" s="13" t="s">
        <v>467</v>
      </c>
    </row>
    <row r="16" customFormat="false" ht="15" hidden="false" customHeight="true" outlineLevel="0" collapsed="false">
      <c r="A16" s="14" t="s">
        <v>468</v>
      </c>
      <c r="B16" s="51" t="s">
        <v>469</v>
      </c>
      <c r="C16" s="51" t="s">
        <v>439</v>
      </c>
      <c r="D16" s="51" t="s">
        <v>431</v>
      </c>
      <c r="E16" s="13" t="s">
        <v>470</v>
      </c>
      <c r="F16" s="13" t="s">
        <v>442</v>
      </c>
    </row>
    <row r="17" customFormat="false" ht="15" hidden="false" customHeight="true" outlineLevel="0" collapsed="false">
      <c r="A17" s="14" t="s">
        <v>471</v>
      </c>
      <c r="B17" s="51" t="s">
        <v>472</v>
      </c>
      <c r="C17" s="51" t="s">
        <v>450</v>
      </c>
      <c r="D17" s="51" t="s">
        <v>473</v>
      </c>
      <c r="E17" s="13" t="s">
        <v>474</v>
      </c>
      <c r="F17" s="13" t="s">
        <v>475</v>
      </c>
    </row>
    <row r="18" customFormat="false" ht="15" hidden="false" customHeight="true" outlineLevel="0" collapsed="false">
      <c r="A18" s="14" t="s">
        <v>476</v>
      </c>
      <c r="B18" s="51" t="s">
        <v>477</v>
      </c>
      <c r="C18" s="51" t="s">
        <v>478</v>
      </c>
      <c r="D18" s="51" t="s">
        <v>479</v>
      </c>
      <c r="E18" s="13" t="s">
        <v>480</v>
      </c>
      <c r="F18" s="13" t="s">
        <v>456</v>
      </c>
    </row>
    <row r="19" customFormat="false" ht="15" hidden="false" customHeight="true" outlineLevel="0" collapsed="false">
      <c r="A19" s="14" t="s">
        <v>481</v>
      </c>
      <c r="B19" s="51" t="s">
        <v>482</v>
      </c>
      <c r="C19" s="51" t="s">
        <v>425</v>
      </c>
      <c r="D19" s="51" t="s">
        <v>431</v>
      </c>
      <c r="E19" s="13" t="s">
        <v>483</v>
      </c>
      <c r="F19" s="13" t="s">
        <v>484</v>
      </c>
    </row>
    <row r="20" customFormat="false" ht="15" hidden="false" customHeight="true" outlineLevel="0" collapsed="false">
      <c r="A20" s="14" t="s">
        <v>485</v>
      </c>
      <c r="B20" s="51" t="s">
        <v>29</v>
      </c>
      <c r="C20" s="51" t="s">
        <v>450</v>
      </c>
      <c r="D20" s="51" t="s">
        <v>431</v>
      </c>
      <c r="E20" s="13" t="s">
        <v>486</v>
      </c>
      <c r="F20" s="13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2026-03-14T14:48:33Z</dcterms:created>
  <dc:creator>openpyxl</dc:creator>
  <dc:description/>
  <dc:language>en-US</dc:language>
  <cp:lastModifiedBy/>
  <dcterms:modified xsi:type="dcterms:W3CDTF">2026-03-14T14:49:32Z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